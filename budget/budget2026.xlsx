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e4bea2b172c3aa/Dokumenter/Kattepasser/lillekat.github.io/budget/"/>
    </mc:Choice>
  </mc:AlternateContent>
  <xr:revisionPtr revIDLastSave="87" documentId="13_ncr:1_{D5C8DED1-5972-794E-89EA-AD45527AB2FE}" xr6:coauthVersionLast="47" xr6:coauthVersionMax="47" xr10:uidLastSave="{E7D91A2D-19B0-4D87-830D-1E915A66273F}"/>
  <bookViews>
    <workbookView xWindow="11110" yWindow="0" windowWidth="11380" windowHeight="13370" firstSheet="1" activeTab="4" xr2:uid="{D1CCE3FA-2749-BB47-B79F-67BB4C56A698}"/>
  </bookViews>
  <sheets>
    <sheet name="2022" sheetId="1" r:id="rId1"/>
    <sheet name="2023" sheetId="2" r:id="rId2"/>
    <sheet name="2024" sheetId="3" r:id="rId3"/>
    <sheet name="2025" sheetId="4" r:id="rId4"/>
    <sheet name="2026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5" l="1"/>
  <c r="E23" i="5"/>
  <c r="D23" i="5"/>
  <c r="C23" i="5"/>
  <c r="G22" i="5"/>
  <c r="G21" i="5"/>
  <c r="G20" i="5"/>
  <c r="G18" i="5"/>
  <c r="G23" i="5" s="1"/>
  <c r="F9" i="5"/>
  <c r="E9" i="5"/>
  <c r="D9" i="5"/>
  <c r="C9" i="5"/>
  <c r="G8" i="5"/>
  <c r="G7" i="5"/>
  <c r="G6" i="5"/>
  <c r="G5" i="5"/>
  <c r="G4" i="5"/>
  <c r="G10" i="4"/>
  <c r="G25" i="4"/>
  <c r="F10" i="4"/>
  <c r="E10" i="4"/>
  <c r="F25" i="4"/>
  <c r="E25" i="4"/>
  <c r="D25" i="4"/>
  <c r="C25" i="4"/>
  <c r="G24" i="4"/>
  <c r="G23" i="4"/>
  <c r="G22" i="4"/>
  <c r="G21" i="4"/>
  <c r="G20" i="4"/>
  <c r="G19" i="4"/>
  <c r="D10" i="4"/>
  <c r="C10" i="4"/>
  <c r="G9" i="4"/>
  <c r="G8" i="4"/>
  <c r="G7" i="4"/>
  <c r="G6" i="4"/>
  <c r="G5" i="4"/>
  <c r="G4" i="4"/>
  <c r="AQ10" i="3"/>
  <c r="AS9" i="3"/>
  <c r="AS8" i="3"/>
  <c r="AS7" i="3"/>
  <c r="AS6" i="3"/>
  <c r="AS5" i="3"/>
  <c r="AN8" i="3"/>
  <c r="AL10" i="3"/>
  <c r="AN9" i="3"/>
  <c r="AN7" i="3"/>
  <c r="AN6" i="3"/>
  <c r="AN5" i="3"/>
  <c r="E24" i="3"/>
  <c r="E52" i="3"/>
  <c r="C52" i="3"/>
  <c r="D52" i="3"/>
  <c r="G9" i="5" l="1"/>
  <c r="AS10" i="3"/>
  <c r="AN10" i="3"/>
  <c r="F52" i="3"/>
  <c r="I49" i="3"/>
  <c r="I48" i="3"/>
  <c r="J42" i="3" s="1"/>
  <c r="I47" i="3"/>
  <c r="J41" i="3" s="1"/>
  <c r="AI9" i="3"/>
  <c r="AG10" i="3"/>
  <c r="AI8" i="3"/>
  <c r="AI7" i="3"/>
  <c r="AI6" i="3"/>
  <c r="AI5" i="3"/>
  <c r="AD9" i="3"/>
  <c r="AD8" i="3"/>
  <c r="AD7" i="3"/>
  <c r="AD6" i="3"/>
  <c r="AD5" i="3"/>
  <c r="AB10" i="3"/>
  <c r="Y9" i="3"/>
  <c r="Y8" i="3"/>
  <c r="Y7" i="3"/>
  <c r="Y6" i="3"/>
  <c r="Y5" i="3"/>
  <c r="O5" i="3"/>
  <c r="W10" i="3"/>
  <c r="I44" i="3"/>
  <c r="C24" i="3"/>
  <c r="D24" i="3"/>
  <c r="J29" i="3"/>
  <c r="F24" i="3"/>
  <c r="J30" i="3" s="1"/>
  <c r="G24" i="3"/>
  <c r="J6" i="3"/>
  <c r="L21" i="2"/>
  <c r="T9" i="3"/>
  <c r="T8" i="3"/>
  <c r="T7" i="3"/>
  <c r="T6" i="3"/>
  <c r="T5" i="3"/>
  <c r="G9" i="3"/>
  <c r="O9" i="3"/>
  <c r="R10" i="3"/>
  <c r="M10" i="3"/>
  <c r="E4" i="2"/>
  <c r="G5" i="3"/>
  <c r="G7" i="3"/>
  <c r="G4" i="3"/>
  <c r="F10" i="3"/>
  <c r="J12" i="3" s="1"/>
  <c r="E10" i="3"/>
  <c r="J11" i="3" s="1"/>
  <c r="O8" i="3"/>
  <c r="O7" i="3"/>
  <c r="O6" i="3"/>
  <c r="D10" i="3"/>
  <c r="C10" i="3"/>
  <c r="L19" i="2"/>
  <c r="AI10" i="3" l="1"/>
  <c r="AD10" i="3"/>
  <c r="Y10" i="3"/>
  <c r="J43" i="3"/>
  <c r="J27" i="3"/>
  <c r="J33" i="3" s="1"/>
  <c r="J13" i="3"/>
  <c r="J15" i="3" s="1"/>
  <c r="J23" i="3" s="1"/>
  <c r="J24" i="3" s="1"/>
  <c r="G10" i="3"/>
  <c r="T10" i="3"/>
  <c r="O10" i="3"/>
  <c r="D19" i="2"/>
  <c r="D18" i="2"/>
  <c r="D17" i="2"/>
  <c r="D16" i="2"/>
  <c r="D15" i="2"/>
  <c r="B20" i="2"/>
  <c r="F12" i="1"/>
  <c r="E7" i="1"/>
  <c r="E8" i="2"/>
  <c r="H8" i="2" s="1"/>
  <c r="D10" i="2"/>
  <c r="E9" i="2"/>
  <c r="C9" i="1"/>
  <c r="D9" i="1"/>
  <c r="E5" i="2"/>
  <c r="H5" i="2" s="1"/>
  <c r="H7" i="1"/>
  <c r="B35" i="1"/>
  <c r="D33" i="1"/>
  <c r="D32" i="1"/>
  <c r="D30" i="1"/>
  <c r="D28" i="1"/>
  <c r="D25" i="1"/>
  <c r="D22" i="1"/>
  <c r="D20" i="1"/>
  <c r="D19" i="1"/>
  <c r="D17" i="1"/>
  <c r="D15" i="1"/>
  <c r="D12" i="1"/>
  <c r="B22" i="1"/>
  <c r="E5" i="1"/>
  <c r="H5" i="1" s="1"/>
  <c r="E8" i="1"/>
  <c r="H8" i="1" s="1"/>
  <c r="J35" i="3" l="1"/>
  <c r="I50" i="3"/>
  <c r="I52" i="3" s="1"/>
  <c r="D20" i="2"/>
  <c r="H9" i="2"/>
  <c r="C10" i="2"/>
  <c r="L10" i="2"/>
  <c r="H4" i="2"/>
  <c r="D35" i="1"/>
  <c r="H9" i="1"/>
  <c r="H10" i="2" l="1"/>
  <c r="H11" i="2" s="1"/>
</calcChain>
</file>

<file path=xl/sharedStrings.xml><?xml version="1.0" encoding="utf-8"?>
<sst xmlns="http://schemas.openxmlformats.org/spreadsheetml/2006/main" count="313" uniqueCount="132">
  <si>
    <t>Lillekat 2022 budget</t>
  </si>
  <si>
    <t>Events</t>
  </si>
  <si>
    <t>Forventet deltagere</t>
  </si>
  <si>
    <t>Faktiske deltagere</t>
  </si>
  <si>
    <t>Søgt penge</t>
  </si>
  <si>
    <t>Dato</t>
  </si>
  <si>
    <t>Lillekat2022-01</t>
  </si>
  <si>
    <t>Lillekat2022-02</t>
  </si>
  <si>
    <t>Lillekat2022-03</t>
  </si>
  <si>
    <t>Lillekat2022-04</t>
  </si>
  <si>
    <t>Lillekat2022-05</t>
  </si>
  <si>
    <t>-</t>
  </si>
  <si>
    <t>Forventet pizza (Familie str.)</t>
  </si>
  <si>
    <t>Pris pr. pizza</t>
  </si>
  <si>
    <t>I alt</t>
  </si>
  <si>
    <t>Levering</t>
  </si>
  <si>
    <t>6+CF</t>
  </si>
  <si>
    <t>Pris</t>
  </si>
  <si>
    <t>Sum</t>
  </si>
  <si>
    <t>Lillekat 2023 budget</t>
  </si>
  <si>
    <t>Støtte søgt (rundet ned)</t>
  </si>
  <si>
    <t>*Støttet af NovoNordisk</t>
  </si>
  <si>
    <t>Udgifter</t>
  </si>
  <si>
    <t>Støtte fra PROSA</t>
  </si>
  <si>
    <t>Start kapital</t>
  </si>
  <si>
    <t>Indtægter</t>
  </si>
  <si>
    <t>Balance</t>
  </si>
  <si>
    <t>Støtte fra DDSA</t>
  </si>
  <si>
    <t>Lillekat2023-06</t>
  </si>
  <si>
    <t>Lillekat2023-07</t>
  </si>
  <si>
    <t>Lillekat2023-08</t>
  </si>
  <si>
    <t>Lillekat2023-09</t>
  </si>
  <si>
    <t>Lillekat2023-10</t>
  </si>
  <si>
    <t>Stickers</t>
  </si>
  <si>
    <t>Studystart</t>
  </si>
  <si>
    <t>Snacks for Lille Kat 2023.06</t>
  </si>
  <si>
    <t>Pizza Lille Kat 2023.06</t>
  </si>
  <si>
    <t>Lille Kat 2023-fall</t>
  </si>
  <si>
    <t>Stk.</t>
  </si>
  <si>
    <t>Nr. pizza</t>
  </si>
  <si>
    <t>Margarita</t>
  </si>
  <si>
    <t>Kartoffel</t>
  </si>
  <si>
    <t>Pepperoni</t>
  </si>
  <si>
    <t>Hawaii</t>
  </si>
  <si>
    <t>Salat</t>
  </si>
  <si>
    <t>Nr. til bestilling</t>
  </si>
  <si>
    <t>Lillekat2024-01</t>
  </si>
  <si>
    <t>Lillekat2024-04</t>
  </si>
  <si>
    <t>Lillekat2024-05</t>
  </si>
  <si>
    <t>penge på snacks</t>
  </si>
  <si>
    <t>Lillekat2024-02</t>
  </si>
  <si>
    <t xml:space="preserve">Skinke </t>
  </si>
  <si>
    <t>penge på pizza</t>
  </si>
  <si>
    <t>Lillekat2024-03 Novo sponsoreret</t>
  </si>
  <si>
    <t>Lillekat2024 D-Pop</t>
  </si>
  <si>
    <t xml:space="preserve"> </t>
  </si>
  <si>
    <t>Lillekat2024-05 normale pizzaer</t>
  </si>
  <si>
    <t xml:space="preserve">Lillekat2024-02 store pizzaer </t>
  </si>
  <si>
    <t>Lille Kat 2024-autumn</t>
  </si>
  <si>
    <t>Lille Kat 2024-Spring</t>
  </si>
  <si>
    <t>Lillekat 2024 Spring budget</t>
  </si>
  <si>
    <t>PIZZA</t>
  </si>
  <si>
    <t>Lillekat 2024 Autumn budget</t>
  </si>
  <si>
    <t>Lillekat 2024-06</t>
  </si>
  <si>
    <t>Lillekat 2024-07</t>
  </si>
  <si>
    <t>Lillekat 2024-08</t>
  </si>
  <si>
    <t>Lillekat 2024-09</t>
  </si>
  <si>
    <t>Lillekat 2024-10</t>
  </si>
  <si>
    <t xml:space="preserve">Snacks </t>
  </si>
  <si>
    <t xml:space="preserve">Pizza </t>
  </si>
  <si>
    <t>Snacks</t>
  </si>
  <si>
    <t>DDSA Budget</t>
  </si>
  <si>
    <t>Type of Expense</t>
  </si>
  <si>
    <t>Pizza</t>
  </si>
  <si>
    <t xml:space="preserve">Event materials </t>
  </si>
  <si>
    <t>overskud fra sidste semester</t>
  </si>
  <si>
    <t>start kapital</t>
  </si>
  <si>
    <t>Event material</t>
  </si>
  <si>
    <r>
      <rPr>
        <b/>
        <sz val="12"/>
        <color theme="1"/>
        <rFont val="Calibri (Body)"/>
      </rPr>
      <t xml:space="preserve">DDSA </t>
    </r>
    <r>
      <rPr>
        <b/>
        <sz val="12"/>
        <color theme="1"/>
        <rFont val="Calibri"/>
        <family val="2"/>
        <scheme val="minor"/>
      </rPr>
      <t xml:space="preserve"> </t>
    </r>
  </si>
  <si>
    <t>stickers (125 stk.)</t>
  </si>
  <si>
    <t xml:space="preserve">tilbage fra hver afdeling af grant: </t>
  </si>
  <si>
    <t>DDSA</t>
  </si>
  <si>
    <t xml:space="preserve">Event Materiale </t>
  </si>
  <si>
    <t>pizza 2024:06</t>
  </si>
  <si>
    <t>Lillekat2024-06 normale pizzaer</t>
  </si>
  <si>
    <t xml:space="preserve">nemlig snacks 06 </t>
  </si>
  <si>
    <t>nemlig snacks 07</t>
  </si>
  <si>
    <t>pizza 2024:07</t>
  </si>
  <si>
    <t xml:space="preserve">Lillekat2024-07 store pizzaer </t>
  </si>
  <si>
    <t xml:space="preserve">Lillekat2024-08 store pizzaer </t>
  </si>
  <si>
    <t>trøffel</t>
  </si>
  <si>
    <t>pizza 2024:08</t>
  </si>
  <si>
    <t>pizza 2024:09</t>
  </si>
  <si>
    <t>nemlig snacks 09</t>
  </si>
  <si>
    <t xml:space="preserve">nemlig snacks 10 </t>
  </si>
  <si>
    <t>pizza 2024:10</t>
  </si>
  <si>
    <t xml:space="preserve">Lillekat2024-09 store pizzaer </t>
  </si>
  <si>
    <t xml:space="preserve">Lillekat2024-10 store pizzaer </t>
  </si>
  <si>
    <t>Lillekat 2025 Spring budget</t>
  </si>
  <si>
    <t>Sponsor</t>
  </si>
  <si>
    <t>Sponsor beløb</t>
  </si>
  <si>
    <t>Lillekat 2025-01</t>
  </si>
  <si>
    <t>Lillekat 2025-02</t>
  </si>
  <si>
    <t>Lillekat 2025-03</t>
  </si>
  <si>
    <t>Lillekat 2025-04</t>
  </si>
  <si>
    <t>Immeo</t>
  </si>
  <si>
    <t>Lillekat 2025-05</t>
  </si>
  <si>
    <t>Lillekat 2025-06</t>
  </si>
  <si>
    <t>Ingen</t>
  </si>
  <si>
    <t>Lillekat 2025 Autumn budget</t>
  </si>
  <si>
    <t>penge på snacks og sodavand</t>
  </si>
  <si>
    <t>Lillekat 2025-07</t>
  </si>
  <si>
    <t>Jobindex</t>
  </si>
  <si>
    <t>Lillekat 2025-08</t>
  </si>
  <si>
    <t>Netcompany</t>
  </si>
  <si>
    <t>Lillekat 2025-09</t>
  </si>
  <si>
    <t>PROSA</t>
  </si>
  <si>
    <t>Lillekat 2025-10</t>
  </si>
  <si>
    <t>Lillekat 2025-10.5</t>
  </si>
  <si>
    <t>Lillekat 2025-11</t>
  </si>
  <si>
    <t>Lillekat 2026 Spring budget</t>
  </si>
  <si>
    <t>Lillekat 2026-01</t>
  </si>
  <si>
    <t>Lillekat 2026-02</t>
  </si>
  <si>
    <t>Lillekat 2026-03</t>
  </si>
  <si>
    <t>Lillekat 2026-04</t>
  </si>
  <si>
    <t>Lillekat 2026-05</t>
  </si>
  <si>
    <t>Lillekat 2026 Autumn budget</t>
  </si>
  <si>
    <t>Lillekat 2026-06</t>
  </si>
  <si>
    <t>Lillekat 2026-07</t>
  </si>
  <si>
    <t>Lillekat 2026-08</t>
  </si>
  <si>
    <t>Lillekat 2026-09</t>
  </si>
  <si>
    <t>Lillekat 2026-10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</si>
</sst>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kr.&quot;_-;\-* #,##0.00\ &quot;kr.&quot;_-;_-* &quot;-&quot;??\ &quot;kr.&quot;_-;_-@_-"/>
    <numFmt numFmtId="43" formatCode="_-* #,##0.00_-;\-* #,##0.00_-;_-* &quot;-&quot;??_-;_-@_-"/>
    <numFmt numFmtId="164" formatCode="#,##0.00\ &quot;kr.&quot;"/>
    <numFmt numFmtId="165" formatCode="#,##0\ &quot;kr.&quot;"/>
  </numFmts>
  <fonts count="16">
    <font>
      <sz val="12"/>
      <color theme="1"/>
      <name val="Calibri"/>
      <family val="2"/>
      <scheme val="minor"/>
    </font>
    <font>
      <sz val="20"/>
      <color theme="1"/>
      <name val="Georgia"/>
      <family val="1"/>
    </font>
    <font>
      <sz val="11"/>
      <color theme="1"/>
      <name val="Georgia Pro"/>
    </font>
    <font>
      <b/>
      <sz val="11"/>
      <color theme="1"/>
      <name val="Georgia Pro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 (Body)"/>
    </font>
    <font>
      <sz val="11"/>
      <color rgb="FF000000"/>
      <name val="Georgia Pro"/>
      <charset val="1"/>
    </font>
    <font>
      <i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 (Body)"/>
    </font>
    <font>
      <b/>
      <sz val="12"/>
      <color theme="1"/>
      <name val="Calibri (Body)"/>
    </font>
    <font>
      <sz val="11"/>
      <color theme="1"/>
      <name val="Georgia Pro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9E1F2"/>
        <bgColor rgb="FF000000"/>
      </patternFill>
    </fill>
  </fills>
  <borders count="4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2" tint="-9.9978637043366805E-2"/>
      </right>
      <top style="medium">
        <color indexed="64"/>
      </top>
      <bottom/>
      <diagonal/>
    </border>
    <border>
      <left style="thin">
        <color indexed="64"/>
      </left>
      <right style="thin">
        <color theme="2" tint="-9.9978637043366805E-2"/>
      </right>
      <top/>
      <bottom/>
      <diagonal/>
    </border>
    <border>
      <left style="thin">
        <color indexed="64"/>
      </left>
      <right style="thin">
        <color theme="2" tint="-9.9978637043366805E-2"/>
      </right>
      <top/>
      <bottom style="thin">
        <color indexed="64"/>
      </bottom>
      <diagonal/>
    </border>
    <border>
      <left style="thin">
        <color theme="2" tint="-9.9978637043366805E-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29">
    <xf numFmtId="0" fontId="0" fillId="0" borderId="0" xfId="0"/>
    <xf numFmtId="0" fontId="2" fillId="3" borderId="6" xfId="0" applyFont="1" applyFill="1" applyBorder="1"/>
    <xf numFmtId="14" fontId="2" fillId="0" borderId="10" xfId="0" applyNumberFormat="1" applyFont="1" applyBorder="1"/>
    <xf numFmtId="0" fontId="2" fillId="0" borderId="0" xfId="0" applyFont="1"/>
    <xf numFmtId="1" fontId="2" fillId="0" borderId="0" xfId="0" applyNumberFormat="1" applyFont="1"/>
    <xf numFmtId="0" fontId="2" fillId="0" borderId="2" xfId="0" applyFont="1" applyBorder="1"/>
    <xf numFmtId="0" fontId="2" fillId="3" borderId="7" xfId="0" applyFont="1" applyFill="1" applyBorder="1"/>
    <xf numFmtId="14" fontId="2" fillId="0" borderId="11" xfId="0" applyNumberFormat="1" applyFont="1" applyBorder="1"/>
    <xf numFmtId="0" fontId="2" fillId="0" borderId="13" xfId="0" applyFont="1" applyBorder="1"/>
    <xf numFmtId="44" fontId="2" fillId="0" borderId="0" xfId="0" applyNumberFormat="1" applyFont="1"/>
    <xf numFmtId="44" fontId="2" fillId="0" borderId="2" xfId="0" applyNumberFormat="1" applyFont="1" applyBorder="1"/>
    <xf numFmtId="14" fontId="2" fillId="0" borderId="12" xfId="0" applyNumberFormat="1" applyFont="1" applyBorder="1"/>
    <xf numFmtId="0" fontId="2" fillId="0" borderId="8" xfId="0" applyFont="1" applyBorder="1"/>
    <xf numFmtId="1" fontId="2" fillId="0" borderId="8" xfId="0" applyNumberFormat="1" applyFont="1" applyBorder="1"/>
    <xf numFmtId="44" fontId="2" fillId="0" borderId="8" xfId="0" applyNumberFormat="1" applyFont="1" applyBorder="1"/>
    <xf numFmtId="44" fontId="2" fillId="0" borderId="9" xfId="0" applyNumberFormat="1" applyFont="1" applyBorder="1"/>
    <xf numFmtId="0" fontId="2" fillId="2" borderId="4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left"/>
    </xf>
    <xf numFmtId="0" fontId="3" fillId="0" borderId="3" xfId="0" applyFont="1" applyBorder="1"/>
    <xf numFmtId="44" fontId="3" fillId="0" borderId="3" xfId="0" applyNumberFormat="1" applyFont="1" applyBorder="1"/>
    <xf numFmtId="0" fontId="2" fillId="3" borderId="14" xfId="0" applyFont="1" applyFill="1" applyBorder="1"/>
    <xf numFmtId="0" fontId="0" fillId="0" borderId="15" xfId="0" applyBorder="1"/>
    <xf numFmtId="0" fontId="0" fillId="0" borderId="2" xfId="0" applyBorder="1"/>
    <xf numFmtId="0" fontId="0" fillId="0" borderId="0" xfId="0" applyAlignment="1">
      <alignment horizontal="right"/>
    </xf>
    <xf numFmtId="0" fontId="0" fillId="0" borderId="18" xfId="0" applyBorder="1"/>
    <xf numFmtId="0" fontId="0" fillId="0" borderId="8" xfId="0" applyBorder="1"/>
    <xf numFmtId="0" fontId="0" fillId="0" borderId="9" xfId="0" applyBorder="1"/>
    <xf numFmtId="0" fontId="0" fillId="0" borderId="19" xfId="0" applyBorder="1"/>
    <xf numFmtId="0" fontId="0" fillId="0" borderId="3" xfId="0" applyBorder="1"/>
    <xf numFmtId="0" fontId="0" fillId="0" borderId="20" xfId="0" applyBorder="1"/>
    <xf numFmtId="164" fontId="2" fillId="0" borderId="0" xfId="0" applyNumberFormat="1" applyFont="1"/>
    <xf numFmtId="44" fontId="2" fillId="0" borderId="0" xfId="1" applyFont="1" applyBorder="1"/>
    <xf numFmtId="44" fontId="2" fillId="0" borderId="2" xfId="1" applyFont="1" applyBorder="1"/>
    <xf numFmtId="1" fontId="3" fillId="0" borderId="3" xfId="0" applyNumberFormat="1" applyFont="1" applyBorder="1"/>
    <xf numFmtId="0" fontId="6" fillId="0" borderId="0" xfId="0" applyFont="1"/>
    <xf numFmtId="3" fontId="5" fillId="4" borderId="20" xfId="0" applyNumberFormat="1" applyFont="1" applyFill="1" applyBorder="1"/>
    <xf numFmtId="0" fontId="5" fillId="4" borderId="19" xfId="0" applyFont="1" applyFill="1" applyBorder="1"/>
    <xf numFmtId="0" fontId="0" fillId="4" borderId="21" xfId="0" applyFill="1" applyBorder="1"/>
    <xf numFmtId="0" fontId="5" fillId="4" borderId="22" xfId="0" applyFont="1" applyFill="1" applyBorder="1"/>
    <xf numFmtId="0" fontId="0" fillId="5" borderId="23" xfId="0" applyFill="1" applyBorder="1"/>
    <xf numFmtId="0" fontId="7" fillId="6" borderId="18" xfId="0" applyFont="1" applyFill="1" applyBorder="1"/>
    <xf numFmtId="0" fontId="0" fillId="5" borderId="7" xfId="0" applyFill="1" applyBorder="1"/>
    <xf numFmtId="0" fontId="0" fillId="6" borderId="15" xfId="0" applyFill="1" applyBorder="1"/>
    <xf numFmtId="0" fontId="0" fillId="5" borderId="7" xfId="0" applyFill="1" applyBorder="1" applyAlignment="1">
      <alignment horizontal="right"/>
    </xf>
    <xf numFmtId="3" fontId="0" fillId="4" borderId="21" xfId="0" applyNumberFormat="1" applyFill="1" applyBorder="1"/>
    <xf numFmtId="0" fontId="0" fillId="6" borderId="18" xfId="0" applyFill="1" applyBorder="1"/>
    <xf numFmtId="3" fontId="0" fillId="5" borderId="7" xfId="0" applyNumberFormat="1" applyFill="1" applyBorder="1"/>
    <xf numFmtId="0" fontId="2" fillId="2" borderId="1" xfId="0" applyFont="1" applyFill="1" applyBorder="1" applyAlignment="1">
      <alignment vertical="center" wrapText="1"/>
    </xf>
    <xf numFmtId="0" fontId="6" fillId="0" borderId="14" xfId="0" applyFont="1" applyBorder="1"/>
    <xf numFmtId="44" fontId="9" fillId="0" borderId="0" xfId="0" applyNumberFormat="1" applyFont="1"/>
    <xf numFmtId="0" fontId="7" fillId="0" borderId="0" xfId="0" applyFont="1"/>
    <xf numFmtId="0" fontId="10" fillId="8" borderId="23" xfId="0" applyFont="1" applyFill="1" applyBorder="1"/>
    <xf numFmtId="0" fontId="10" fillId="8" borderId="9" xfId="0" applyFont="1" applyFill="1" applyBorder="1"/>
    <xf numFmtId="0" fontId="11" fillId="0" borderId="14" xfId="0" applyFont="1" applyBorder="1"/>
    <xf numFmtId="0" fontId="7" fillId="0" borderId="2" xfId="0" applyFont="1" applyBorder="1"/>
    <xf numFmtId="0" fontId="11" fillId="0" borderId="23" xfId="0" applyFont="1" applyBorder="1"/>
    <xf numFmtId="0" fontId="7" fillId="0" borderId="0" xfId="0" applyFont="1" applyAlignment="1">
      <alignment horizontal="right"/>
    </xf>
    <xf numFmtId="0" fontId="7" fillId="0" borderId="21" xfId="0" applyFont="1" applyBorder="1"/>
    <xf numFmtId="0" fontId="7" fillId="0" borderId="3" xfId="0" applyFont="1" applyBorder="1"/>
    <xf numFmtId="0" fontId="7" fillId="0" borderId="20" xfId="0" applyFont="1" applyBorder="1"/>
    <xf numFmtId="0" fontId="5" fillId="4" borderId="16" xfId="0" applyFont="1" applyFill="1" applyBorder="1" applyAlignment="1">
      <alignment horizontal="center"/>
    </xf>
    <xf numFmtId="0" fontId="5" fillId="4" borderId="24" xfId="0" applyFont="1" applyFill="1" applyBorder="1" applyAlignment="1">
      <alignment horizontal="center"/>
    </xf>
    <xf numFmtId="44" fontId="0" fillId="5" borderId="7" xfId="0" applyNumberFormat="1" applyFill="1" applyBorder="1" applyAlignment="1">
      <alignment horizontal="right"/>
    </xf>
    <xf numFmtId="0" fontId="13" fillId="0" borderId="0" xfId="0" applyFont="1"/>
    <xf numFmtId="44" fontId="0" fillId="4" borderId="21" xfId="0" applyNumberFormat="1" applyFill="1" applyBorder="1"/>
    <xf numFmtId="165" fontId="3" fillId="0" borderId="3" xfId="0" applyNumberFormat="1" applyFont="1" applyBorder="1"/>
    <xf numFmtId="3" fontId="0" fillId="5" borderId="2" xfId="0" applyNumberFormat="1" applyFill="1" applyBorder="1"/>
    <xf numFmtId="44" fontId="0" fillId="5" borderId="7" xfId="0" applyNumberFormat="1" applyFill="1" applyBorder="1"/>
    <xf numFmtId="44" fontId="0" fillId="0" borderId="0" xfId="0" applyNumberFormat="1"/>
    <xf numFmtId="165" fontId="0" fillId="5" borderId="7" xfId="0" applyNumberFormat="1" applyFill="1" applyBorder="1" applyAlignment="1">
      <alignment horizontal="right"/>
    </xf>
    <xf numFmtId="0" fontId="5" fillId="0" borderId="0" xfId="0" applyFont="1"/>
    <xf numFmtId="165" fontId="0" fillId="0" borderId="0" xfId="0" applyNumberFormat="1"/>
    <xf numFmtId="165" fontId="0" fillId="5" borderId="7" xfId="0" applyNumberFormat="1" applyFill="1" applyBorder="1"/>
    <xf numFmtId="165" fontId="0" fillId="4" borderId="21" xfId="0" applyNumberFormat="1" applyFill="1" applyBorder="1"/>
    <xf numFmtId="0" fontId="2" fillId="3" borderId="0" xfId="0" applyFont="1" applyFill="1"/>
    <xf numFmtId="14" fontId="2" fillId="0" borderId="0" xfId="0" applyNumberFormat="1" applyFont="1"/>
    <xf numFmtId="0" fontId="9" fillId="0" borderId="0" xfId="0" applyFont="1"/>
    <xf numFmtId="2" fontId="3" fillId="0" borderId="3" xfId="0" applyNumberFormat="1" applyFont="1" applyBorder="1"/>
    <xf numFmtId="0" fontId="1" fillId="0" borderId="0" xfId="0" applyFont="1" applyAlignment="1">
      <alignment horizontal="center" vertical="center"/>
    </xf>
    <xf numFmtId="0" fontId="2" fillId="3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5" fillId="7" borderId="16" xfId="0" applyFont="1" applyFill="1" applyBorder="1" applyAlignment="1">
      <alignment horizontal="center"/>
    </xf>
    <xf numFmtId="0" fontId="8" fillId="7" borderId="24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4" borderId="24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0" fillId="8" borderId="16" xfId="0" applyFont="1" applyFill="1" applyBorder="1" applyAlignment="1">
      <alignment horizontal="center"/>
    </xf>
    <xf numFmtId="0" fontId="10" fillId="8" borderId="17" xfId="0" applyFont="1" applyFill="1" applyBorder="1" applyAlignment="1">
      <alignment horizontal="center"/>
    </xf>
    <xf numFmtId="0" fontId="10" fillId="8" borderId="25" xfId="0" applyFont="1" applyFill="1" applyBorder="1" applyAlignment="1">
      <alignment horizontal="center"/>
    </xf>
    <xf numFmtId="0" fontId="8" fillId="7" borderId="16" xfId="0" applyFont="1" applyFill="1" applyBorder="1" applyAlignment="1">
      <alignment horizontal="center"/>
    </xf>
    <xf numFmtId="0" fontId="15" fillId="2" borderId="0" xfId="0" applyFont="1" applyFill="1" applyAlignment="1">
      <alignment horizontal="left"/>
    </xf>
    <xf numFmtId="1" fontId="15" fillId="0" borderId="0" xfId="0" applyNumberFormat="1" applyFont="1"/>
    <xf numFmtId="1" fontId="2" fillId="0" borderId="0" xfId="2" applyNumberFormat="1" applyFont="1" applyBorder="1"/>
    <xf numFmtId="44" fontId="15" fillId="0" borderId="0" xfId="1" applyFont="1" applyBorder="1"/>
    <xf numFmtId="164" fontId="3" fillId="0" borderId="3" xfId="0" applyNumberFormat="1" applyFont="1" applyBorder="1"/>
    <xf numFmtId="44" fontId="3" fillId="0" borderId="0" xfId="0" applyNumberFormat="1" applyFon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5" fillId="2" borderId="0" xfId="0" applyFont="1" applyFill="1" applyBorder="1" applyAlignment="1">
      <alignment horizontal="left"/>
    </xf>
    <xf numFmtId="0" fontId="0" fillId="0" borderId="0" xfId="0" applyBorder="1"/>
    <xf numFmtId="44" fontId="3" fillId="0" borderId="0" xfId="0" applyNumberFormat="1" applyFont="1" applyBorder="1"/>
    <xf numFmtId="0" fontId="2" fillId="2" borderId="26" xfId="0" applyFont="1" applyFill="1" applyBorder="1" applyAlignment="1">
      <alignment horizontal="left"/>
    </xf>
    <xf numFmtId="0" fontId="2" fillId="2" borderId="26" xfId="0" applyFont="1" applyFill="1" applyBorder="1" applyAlignment="1">
      <alignment vertical="center" wrapText="1"/>
    </xf>
    <xf numFmtId="1" fontId="3" fillId="0" borderId="27" xfId="0" applyNumberFormat="1" applyFont="1" applyBorder="1"/>
    <xf numFmtId="0" fontId="3" fillId="0" borderId="28" xfId="0" applyFont="1" applyBorder="1"/>
    <xf numFmtId="44" fontId="3" fillId="0" borderId="27" xfId="0" applyNumberFormat="1" applyFont="1" applyBorder="1"/>
    <xf numFmtId="0" fontId="3" fillId="0" borderId="27" xfId="0" applyFont="1" applyBorder="1"/>
    <xf numFmtId="0" fontId="2" fillId="3" borderId="8" xfId="0" applyFont="1" applyFill="1" applyBorder="1"/>
    <xf numFmtId="0" fontId="2" fillId="3" borderId="29" xfId="0" applyFont="1" applyFill="1" applyBorder="1"/>
    <xf numFmtId="0" fontId="2" fillId="3" borderId="30" xfId="0" applyFont="1" applyFill="1" applyBorder="1"/>
    <xf numFmtId="0" fontId="3" fillId="0" borderId="31" xfId="0" applyFont="1" applyBorder="1"/>
    <xf numFmtId="0" fontId="2" fillId="3" borderId="9" xfId="0" applyFont="1" applyFill="1" applyBorder="1"/>
    <xf numFmtId="0" fontId="2" fillId="3" borderId="2" xfId="0" applyFont="1" applyFill="1" applyBorder="1"/>
    <xf numFmtId="164" fontId="2" fillId="0" borderId="0" xfId="1" applyNumberFormat="1" applyFont="1" applyBorder="1"/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2" borderId="35" xfId="0" applyFont="1" applyFill="1" applyBorder="1" applyAlignment="1">
      <alignment horizontal="left"/>
    </xf>
    <xf numFmtId="0" fontId="15" fillId="3" borderId="36" xfId="0" applyFont="1" applyFill="1" applyBorder="1"/>
    <xf numFmtId="0" fontId="15" fillId="3" borderId="37" xfId="0" applyFont="1" applyFill="1" applyBorder="1"/>
    <xf numFmtId="0" fontId="3" fillId="0" borderId="38" xfId="0" applyFont="1" applyBorder="1"/>
    <xf numFmtId="0" fontId="0" fillId="0" borderId="39" xfId="0" applyBorder="1"/>
    <xf numFmtId="0" fontId="1" fillId="0" borderId="39" xfId="0" applyFont="1" applyBorder="1" applyAlignment="1">
      <alignment horizontal="center" vertical="center"/>
    </xf>
    <xf numFmtId="0" fontId="15" fillId="3" borderId="39" xfId="0" applyFont="1" applyFill="1" applyBorder="1"/>
    <xf numFmtId="0" fontId="0" fillId="0" borderId="0" xfId="0" applyNumberFormat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6768"/>
      <color rgb="FFFF40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7A488-0249-9540-9962-645D5D55DAA6}">
  <dimension ref="A1:H36"/>
  <sheetViews>
    <sheetView zoomScale="94" zoomScaleNormal="140" workbookViewId="0">
      <selection activeCell="F21" sqref="F21"/>
    </sheetView>
  </sheetViews>
  <sheetFormatPr defaultColWidth="10.6640625" defaultRowHeight="15.5"/>
  <cols>
    <col min="1" max="1" width="18.1640625" bestFit="1" customWidth="1"/>
    <col min="2" max="2" width="14.1640625" bestFit="1" customWidth="1"/>
    <col min="3" max="3" width="17.33203125" bestFit="1" customWidth="1"/>
    <col min="4" max="4" width="16.5" bestFit="1" customWidth="1"/>
    <col min="5" max="5" width="14.1640625" bestFit="1" customWidth="1"/>
    <col min="6" max="6" width="12.1640625" bestFit="1" customWidth="1"/>
    <col min="7" max="7" width="12" customWidth="1"/>
    <col min="8" max="8" width="14.1640625" bestFit="1" customWidth="1"/>
  </cols>
  <sheetData>
    <row r="1" spans="1:8">
      <c r="A1" s="88" t="s">
        <v>0</v>
      </c>
      <c r="B1" s="88"/>
      <c r="C1" s="88"/>
      <c r="D1" s="88"/>
      <c r="E1" s="88"/>
      <c r="F1" s="88"/>
      <c r="G1" s="88"/>
      <c r="H1" s="88"/>
    </row>
    <row r="2" spans="1:8">
      <c r="A2" s="89"/>
      <c r="B2" s="89"/>
      <c r="C2" s="89"/>
      <c r="D2" s="89"/>
      <c r="E2" s="89"/>
      <c r="F2" s="89"/>
      <c r="G2" s="89"/>
      <c r="H2" s="89"/>
    </row>
    <row r="3" spans="1:8" ht="29.5" thickBot="1">
      <c r="A3" s="16" t="s">
        <v>1</v>
      </c>
      <c r="B3" s="17" t="s">
        <v>5</v>
      </c>
      <c r="C3" s="17" t="s">
        <v>2</v>
      </c>
      <c r="D3" s="17" t="s">
        <v>3</v>
      </c>
      <c r="E3" s="18" t="s">
        <v>12</v>
      </c>
      <c r="F3" s="17" t="s">
        <v>13</v>
      </c>
      <c r="G3" s="17" t="s">
        <v>15</v>
      </c>
      <c r="H3" s="19" t="s">
        <v>4</v>
      </c>
    </row>
    <row r="4" spans="1:8">
      <c r="A4" s="1" t="s">
        <v>6</v>
      </c>
      <c r="B4" s="2">
        <v>44603</v>
      </c>
      <c r="C4" s="3">
        <v>70</v>
      </c>
      <c r="D4" s="3">
        <v>80</v>
      </c>
      <c r="E4" s="4" t="s">
        <v>11</v>
      </c>
      <c r="F4" s="3" t="s">
        <v>11</v>
      </c>
      <c r="G4" s="3" t="s">
        <v>11</v>
      </c>
      <c r="H4" s="5" t="s">
        <v>11</v>
      </c>
    </row>
    <row r="5" spans="1:8">
      <c r="A5" s="6" t="s">
        <v>7</v>
      </c>
      <c r="B5" s="7">
        <v>44617</v>
      </c>
      <c r="C5" s="8">
        <v>35</v>
      </c>
      <c r="D5" s="3">
        <v>51</v>
      </c>
      <c r="E5" s="4">
        <f>C5/3</f>
        <v>11.666666666666666</v>
      </c>
      <c r="F5" s="9">
        <v>120</v>
      </c>
      <c r="G5" s="9">
        <v>50</v>
      </c>
      <c r="H5" s="10">
        <f>F5*E5+G5</f>
        <v>1450</v>
      </c>
    </row>
    <row r="6" spans="1:8">
      <c r="A6" s="6" t="s">
        <v>8</v>
      </c>
      <c r="B6" s="7">
        <v>44631</v>
      </c>
      <c r="C6" s="3">
        <v>15</v>
      </c>
      <c r="D6" s="3">
        <v>34</v>
      </c>
      <c r="E6" s="4" t="s">
        <v>11</v>
      </c>
      <c r="F6" s="9" t="s">
        <v>11</v>
      </c>
      <c r="G6" s="9"/>
      <c r="H6" s="10" t="s">
        <v>11</v>
      </c>
    </row>
    <row r="7" spans="1:8">
      <c r="A7" s="6" t="s">
        <v>9</v>
      </c>
      <c r="B7" s="7">
        <v>44645</v>
      </c>
      <c r="C7" s="3">
        <v>55</v>
      </c>
      <c r="D7" s="3">
        <v>56</v>
      </c>
      <c r="E7" s="4">
        <f>C7/3</f>
        <v>18.333333333333332</v>
      </c>
      <c r="F7" s="9">
        <v>120</v>
      </c>
      <c r="G7" s="9">
        <v>50</v>
      </c>
      <c r="H7" s="10">
        <f>F7*E7+G7</f>
        <v>2250</v>
      </c>
    </row>
    <row r="8" spans="1:8">
      <c r="A8" s="6" t="s">
        <v>10</v>
      </c>
      <c r="B8" s="11">
        <v>44687</v>
      </c>
      <c r="C8" s="12">
        <v>25</v>
      </c>
      <c r="D8" s="3">
        <v>33</v>
      </c>
      <c r="E8" s="13">
        <f>C8/3</f>
        <v>8.3333333333333339</v>
      </c>
      <c r="F8" s="14">
        <v>120</v>
      </c>
      <c r="G8" s="14">
        <v>50</v>
      </c>
      <c r="H8" s="15">
        <f>F8*E8+G8</f>
        <v>1050</v>
      </c>
    </row>
    <row r="9" spans="1:8" ht="16" thickBot="1">
      <c r="A9" s="20" t="s">
        <v>14</v>
      </c>
      <c r="B9" s="20"/>
      <c r="C9" s="20">
        <f>SUM(C4:C8)</f>
        <v>200</v>
      </c>
      <c r="D9" s="20">
        <f>SUM(D4:D8)</f>
        <v>254</v>
      </c>
      <c r="E9" s="20"/>
      <c r="F9" s="21"/>
      <c r="G9" s="21"/>
      <c r="H9" s="21">
        <f>SUM(H4:H8)</f>
        <v>4750</v>
      </c>
    </row>
    <row r="10" spans="1:8" ht="16" thickTop="1"/>
    <row r="11" spans="1:8">
      <c r="B11" s="81" t="s">
        <v>7</v>
      </c>
      <c r="C11" s="82"/>
      <c r="D11" s="22" t="s">
        <v>17</v>
      </c>
    </row>
    <row r="12" spans="1:8">
      <c r="A12" s="3"/>
      <c r="B12" s="23">
        <v>1</v>
      </c>
      <c r="C12">
        <v>1</v>
      </c>
      <c r="D12" s="24">
        <f>95*B12</f>
        <v>95</v>
      </c>
      <c r="F12">
        <f>D9/C9</f>
        <v>1.27</v>
      </c>
    </row>
    <row r="13" spans="1:8">
      <c r="B13" s="23">
        <v>1</v>
      </c>
      <c r="C13">
        <v>2</v>
      </c>
      <c r="D13" s="24">
        <v>140</v>
      </c>
    </row>
    <row r="14" spans="1:8">
      <c r="B14" s="23">
        <v>1</v>
      </c>
      <c r="C14">
        <v>4</v>
      </c>
      <c r="D14" s="24">
        <v>130</v>
      </c>
    </row>
    <row r="15" spans="1:8">
      <c r="B15" s="23">
        <v>2</v>
      </c>
      <c r="C15">
        <v>5</v>
      </c>
      <c r="D15" s="24">
        <f>130*B15</f>
        <v>260</v>
      </c>
    </row>
    <row r="16" spans="1:8">
      <c r="B16" s="23">
        <v>1</v>
      </c>
      <c r="C16" s="25" t="s">
        <v>16</v>
      </c>
      <c r="D16" s="24">
        <v>130</v>
      </c>
    </row>
    <row r="17" spans="1:4">
      <c r="B17" s="23">
        <v>2</v>
      </c>
      <c r="C17">
        <v>10</v>
      </c>
      <c r="D17" s="24">
        <f>105*B17</f>
        <v>210</v>
      </c>
    </row>
    <row r="18" spans="1:4">
      <c r="B18" s="23">
        <v>1</v>
      </c>
      <c r="C18">
        <v>12</v>
      </c>
      <c r="D18" s="24">
        <v>105</v>
      </c>
    </row>
    <row r="19" spans="1:4">
      <c r="B19" s="23">
        <v>2</v>
      </c>
      <c r="C19">
        <v>13</v>
      </c>
      <c r="D19" s="24">
        <f>110*B19</f>
        <v>220</v>
      </c>
    </row>
    <row r="20" spans="1:4">
      <c r="B20" s="23">
        <v>2</v>
      </c>
      <c r="C20">
        <v>24</v>
      </c>
      <c r="D20" s="24">
        <f>130*B20</f>
        <v>260</v>
      </c>
    </row>
    <row r="21" spans="1:4">
      <c r="B21" s="26">
        <v>1</v>
      </c>
      <c r="C21" s="27">
        <v>29</v>
      </c>
      <c r="D21" s="28">
        <v>130</v>
      </c>
    </row>
    <row r="22" spans="1:4" ht="16" thickBot="1">
      <c r="A22" s="31" t="s">
        <v>18</v>
      </c>
      <c r="B22" s="29">
        <f>SUM(B12:B21)</f>
        <v>14</v>
      </c>
      <c r="C22" s="30"/>
      <c r="D22" s="31">
        <f>SUM(D12:D21)</f>
        <v>1680</v>
      </c>
    </row>
    <row r="23" spans="1:4" ht="16" thickTop="1"/>
    <row r="24" spans="1:4">
      <c r="B24" s="81" t="s">
        <v>9</v>
      </c>
      <c r="C24" s="82"/>
      <c r="D24" s="22" t="s">
        <v>17</v>
      </c>
    </row>
    <row r="25" spans="1:4">
      <c r="A25" s="3"/>
      <c r="B25" s="23">
        <v>1</v>
      </c>
      <c r="C25">
        <v>1</v>
      </c>
      <c r="D25" s="24">
        <f>95*B25</f>
        <v>95</v>
      </c>
    </row>
    <row r="26" spans="1:4">
      <c r="B26" s="23">
        <v>1</v>
      </c>
      <c r="C26">
        <v>2</v>
      </c>
      <c r="D26" s="24">
        <v>140</v>
      </c>
    </row>
    <row r="27" spans="1:4">
      <c r="B27" s="23">
        <v>2</v>
      </c>
      <c r="C27">
        <v>4</v>
      </c>
      <c r="D27" s="24">
        <v>130</v>
      </c>
    </row>
    <row r="28" spans="1:4">
      <c r="B28" s="23">
        <v>3</v>
      </c>
      <c r="C28">
        <v>5</v>
      </c>
      <c r="D28" s="24">
        <f>130*B28</f>
        <v>390</v>
      </c>
    </row>
    <row r="29" spans="1:4">
      <c r="B29" s="23">
        <v>1</v>
      </c>
      <c r="C29" s="25" t="s">
        <v>16</v>
      </c>
      <c r="D29" s="24">
        <v>130</v>
      </c>
    </row>
    <row r="30" spans="1:4">
      <c r="B30" s="23">
        <v>3</v>
      </c>
      <c r="C30">
        <v>10</v>
      </c>
      <c r="D30" s="24">
        <f>105*B30</f>
        <v>315</v>
      </c>
    </row>
    <row r="31" spans="1:4">
      <c r="B31" s="23">
        <v>2</v>
      </c>
      <c r="C31">
        <v>12</v>
      </c>
      <c r="D31" s="24">
        <v>105</v>
      </c>
    </row>
    <row r="32" spans="1:4">
      <c r="B32" s="23">
        <v>3</v>
      </c>
      <c r="C32">
        <v>13</v>
      </c>
      <c r="D32" s="24">
        <f>110*B32</f>
        <v>330</v>
      </c>
    </row>
    <row r="33" spans="1:4">
      <c r="B33" s="23">
        <v>2</v>
      </c>
      <c r="C33">
        <v>24</v>
      </c>
      <c r="D33" s="24">
        <f>130*B33</f>
        <v>260</v>
      </c>
    </row>
    <row r="34" spans="1:4">
      <c r="B34" s="26">
        <v>1</v>
      </c>
      <c r="C34" s="27">
        <v>29</v>
      </c>
      <c r="D34" s="28">
        <v>130</v>
      </c>
    </row>
    <row r="35" spans="1:4" ht="16" thickBot="1">
      <c r="A35" s="31" t="s">
        <v>18</v>
      </c>
      <c r="B35" s="29">
        <f>SUM(B25:B34)</f>
        <v>19</v>
      </c>
      <c r="C35" s="30"/>
      <c r="D35" s="31">
        <f>SUM(D25:D34)</f>
        <v>2025</v>
      </c>
    </row>
    <row r="36" spans="1:4" ht="16" thickTop="1"/>
  </sheetData>
  <mergeCells count="3">
    <mergeCell ref="A1:H2"/>
    <mergeCell ref="B11:C11"/>
    <mergeCell ref="B24:C24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9F9F2-A4CC-AD4F-A3F1-917E919B80E2}">
  <dimension ref="A1:L23"/>
  <sheetViews>
    <sheetView zoomScale="65" zoomScaleNormal="116" workbookViewId="0">
      <selection activeCell="J8" sqref="J8"/>
    </sheetView>
  </sheetViews>
  <sheetFormatPr defaultColWidth="10.6640625" defaultRowHeight="15.5"/>
  <cols>
    <col min="1" max="1" width="18.1640625" bestFit="1" customWidth="1"/>
    <col min="2" max="2" width="14.1640625" bestFit="1" customWidth="1"/>
    <col min="3" max="3" width="17.83203125" bestFit="1" customWidth="1"/>
    <col min="4" max="4" width="16.5" bestFit="1" customWidth="1"/>
    <col min="5" max="5" width="14.1640625" bestFit="1" customWidth="1"/>
    <col min="6" max="6" width="12.1640625" bestFit="1" customWidth="1"/>
    <col min="7" max="7" width="12" customWidth="1"/>
    <col min="8" max="8" width="15.83203125" bestFit="1" customWidth="1"/>
    <col min="11" max="11" width="26" bestFit="1" customWidth="1"/>
    <col min="12" max="12" width="8.5" bestFit="1" customWidth="1"/>
    <col min="14" max="14" width="26" bestFit="1" customWidth="1"/>
  </cols>
  <sheetData>
    <row r="1" spans="1:12">
      <c r="A1" s="88" t="s">
        <v>19</v>
      </c>
      <c r="B1" s="88"/>
      <c r="C1" s="88"/>
      <c r="D1" s="88"/>
      <c r="E1" s="88"/>
      <c r="F1" s="88"/>
      <c r="G1" s="88"/>
      <c r="H1" s="88"/>
    </row>
    <row r="2" spans="1:12">
      <c r="A2" s="89"/>
      <c r="B2" s="89"/>
      <c r="C2" s="89"/>
      <c r="D2" s="89"/>
      <c r="E2" s="89"/>
      <c r="F2" s="89"/>
      <c r="G2" s="89"/>
      <c r="H2" s="89"/>
    </row>
    <row r="3" spans="1:12" ht="29.5" thickBot="1">
      <c r="A3" s="16" t="s">
        <v>1</v>
      </c>
      <c r="B3" s="17" t="s">
        <v>5</v>
      </c>
      <c r="C3" s="17" t="s">
        <v>2</v>
      </c>
      <c r="D3" s="17" t="s">
        <v>3</v>
      </c>
      <c r="E3" s="49" t="s">
        <v>12</v>
      </c>
      <c r="F3" s="17" t="s">
        <v>13</v>
      </c>
      <c r="G3" s="17" t="s">
        <v>15</v>
      </c>
      <c r="H3" s="19" t="s">
        <v>4</v>
      </c>
      <c r="K3" s="93" t="s">
        <v>37</v>
      </c>
      <c r="L3" s="85"/>
    </row>
    <row r="4" spans="1:12">
      <c r="A4" s="1" t="s">
        <v>28</v>
      </c>
      <c r="B4" s="2">
        <v>45177</v>
      </c>
      <c r="C4" s="4">
        <v>120</v>
      </c>
      <c r="E4" s="4">
        <f>C4/4</f>
        <v>30</v>
      </c>
      <c r="F4" s="32">
        <v>150</v>
      </c>
      <c r="G4" s="33">
        <v>50</v>
      </c>
      <c r="H4" s="34">
        <f>E4*F4</f>
        <v>4500</v>
      </c>
      <c r="K4" s="86" t="s">
        <v>25</v>
      </c>
      <c r="L4" s="87"/>
    </row>
    <row r="5" spans="1:12">
      <c r="A5" s="6" t="s">
        <v>29</v>
      </c>
      <c r="B5" s="7">
        <v>45191</v>
      </c>
      <c r="C5" s="4"/>
      <c r="E5" s="4">
        <f>C5/2.8</f>
        <v>0</v>
      </c>
      <c r="F5" s="32">
        <v>150</v>
      </c>
      <c r="G5" s="33">
        <v>50</v>
      </c>
      <c r="H5" s="34">
        <f>E5*F5+G5</f>
        <v>50</v>
      </c>
      <c r="K5" s="44" t="s">
        <v>24</v>
      </c>
      <c r="L5" s="48">
        <v>15000</v>
      </c>
    </row>
    <row r="6" spans="1:12">
      <c r="A6" s="6" t="s">
        <v>30</v>
      </c>
      <c r="B6" s="7">
        <v>45205</v>
      </c>
      <c r="C6" s="4"/>
      <c r="E6" s="4" t="s">
        <v>11</v>
      </c>
      <c r="F6" s="32" t="s">
        <v>11</v>
      </c>
      <c r="G6" s="33" t="s">
        <v>11</v>
      </c>
      <c r="H6" s="34" t="s">
        <v>11</v>
      </c>
      <c r="K6" s="44" t="s">
        <v>27</v>
      </c>
      <c r="L6" s="48">
        <v>0</v>
      </c>
    </row>
    <row r="7" spans="1:12">
      <c r="A7" s="6" t="s">
        <v>31</v>
      </c>
      <c r="B7" s="7">
        <v>45226</v>
      </c>
      <c r="C7" s="4"/>
      <c r="E7" s="4" t="s">
        <v>11</v>
      </c>
      <c r="F7" s="32" t="s">
        <v>11</v>
      </c>
      <c r="G7" s="33" t="s">
        <v>11</v>
      </c>
      <c r="H7" s="34" t="s">
        <v>11</v>
      </c>
      <c r="K7" s="44" t="s">
        <v>27</v>
      </c>
      <c r="L7" s="48">
        <v>0</v>
      </c>
    </row>
    <row r="8" spans="1:12">
      <c r="A8" s="6" t="s">
        <v>32</v>
      </c>
      <c r="B8" s="7">
        <v>45254</v>
      </c>
      <c r="C8" s="4"/>
      <c r="E8" s="4">
        <f>C8/2</f>
        <v>0</v>
      </c>
      <c r="F8" s="32">
        <v>150</v>
      </c>
      <c r="G8" s="33">
        <v>50</v>
      </c>
      <c r="H8" s="34">
        <f>E8*F8+G8</f>
        <v>50</v>
      </c>
      <c r="K8" s="47" t="s">
        <v>23</v>
      </c>
      <c r="L8" s="41">
        <v>0</v>
      </c>
    </row>
    <row r="9" spans="1:12">
      <c r="A9" s="6" t="s">
        <v>32</v>
      </c>
      <c r="B9" s="7">
        <v>45268</v>
      </c>
      <c r="C9" s="4"/>
      <c r="E9" s="4">
        <f>C9/2</f>
        <v>0</v>
      </c>
      <c r="F9" s="32">
        <v>150</v>
      </c>
      <c r="G9" s="33">
        <v>50</v>
      </c>
      <c r="H9" s="34">
        <f>E9*F9+G9</f>
        <v>50</v>
      </c>
      <c r="K9" s="47" t="s">
        <v>23</v>
      </c>
      <c r="L9" s="41">
        <v>0</v>
      </c>
    </row>
    <row r="10" spans="1:12" ht="16" thickBot="1">
      <c r="A10" s="20" t="s">
        <v>14</v>
      </c>
      <c r="B10" s="20"/>
      <c r="C10" s="35">
        <f>SUM(C4:C9)</f>
        <v>120</v>
      </c>
      <c r="D10" s="20">
        <f>SUM(D4:D9)</f>
        <v>0</v>
      </c>
      <c r="E10" s="20"/>
      <c r="F10" s="21"/>
      <c r="G10" s="21"/>
      <c r="H10" s="21">
        <f>SUM(H4:H9)</f>
        <v>4650</v>
      </c>
      <c r="K10" s="40" t="s">
        <v>14</v>
      </c>
      <c r="L10" s="46">
        <f>SUM(L5:L9)</f>
        <v>15000</v>
      </c>
    </row>
    <row r="11" spans="1:12" ht="16.5" thickTop="1" thickBot="1">
      <c r="A11" s="20" t="s">
        <v>20</v>
      </c>
      <c r="B11" s="20"/>
      <c r="C11" s="35"/>
      <c r="D11" s="20"/>
      <c r="E11" s="20"/>
      <c r="F11" s="21"/>
      <c r="G11" s="21"/>
      <c r="H11" s="21">
        <f>H10-292.86</f>
        <v>4357.1400000000003</v>
      </c>
    </row>
    <row r="12" spans="1:12" ht="16" thickTop="1">
      <c r="K12" s="86" t="s">
        <v>22</v>
      </c>
      <c r="L12" s="87"/>
    </row>
    <row r="13" spans="1:12">
      <c r="B13" s="81" t="s">
        <v>28</v>
      </c>
      <c r="C13" s="82"/>
      <c r="D13" s="83"/>
      <c r="K13" s="44" t="s">
        <v>33</v>
      </c>
      <c r="L13" s="43">
        <v>1042</v>
      </c>
    </row>
    <row r="14" spans="1:12">
      <c r="B14" s="22" t="s">
        <v>38</v>
      </c>
      <c r="C14" s="22" t="s">
        <v>39</v>
      </c>
      <c r="D14" s="22" t="s">
        <v>17</v>
      </c>
      <c r="K14" s="44" t="s">
        <v>34</v>
      </c>
      <c r="L14" s="43">
        <v>152</v>
      </c>
    </row>
    <row r="15" spans="1:12">
      <c r="A15" s="50" t="s">
        <v>40</v>
      </c>
      <c r="B15" s="23">
        <v>6</v>
      </c>
      <c r="C15">
        <v>1</v>
      </c>
      <c r="D15" s="24">
        <f>110*B15</f>
        <v>660</v>
      </c>
      <c r="K15" s="44" t="s">
        <v>35</v>
      </c>
      <c r="L15" s="45">
        <v>3031.45</v>
      </c>
    </row>
    <row r="16" spans="1:12">
      <c r="A16" s="50" t="s">
        <v>41</v>
      </c>
      <c r="B16" s="23">
        <v>6</v>
      </c>
      <c r="C16">
        <v>5</v>
      </c>
      <c r="D16" s="24">
        <f>B16*139</f>
        <v>834</v>
      </c>
      <c r="K16" s="44" t="s">
        <v>36</v>
      </c>
      <c r="L16" s="45">
        <v>4002</v>
      </c>
    </row>
    <row r="17" spans="1:12">
      <c r="A17" s="50" t="s">
        <v>42</v>
      </c>
      <c r="B17" s="23">
        <v>6</v>
      </c>
      <c r="C17">
        <v>10</v>
      </c>
      <c r="D17" s="24">
        <f>129*B17</f>
        <v>774</v>
      </c>
      <c r="K17" s="44"/>
      <c r="L17" s="43">
        <v>0</v>
      </c>
    </row>
    <row r="18" spans="1:12">
      <c r="A18" s="50" t="s">
        <v>43</v>
      </c>
      <c r="B18" s="23">
        <v>6</v>
      </c>
      <c r="C18">
        <v>13</v>
      </c>
      <c r="D18" s="24">
        <f>139*B18</f>
        <v>834</v>
      </c>
      <c r="K18" s="42"/>
      <c r="L18" s="41">
        <v>0</v>
      </c>
    </row>
    <row r="19" spans="1:12" ht="16" thickBot="1">
      <c r="A19" s="50" t="s">
        <v>44</v>
      </c>
      <c r="B19" s="23">
        <v>6</v>
      </c>
      <c r="C19" s="25">
        <v>24</v>
      </c>
      <c r="D19" s="24">
        <f>150*B19</f>
        <v>900</v>
      </c>
      <c r="K19" s="40" t="s">
        <v>14</v>
      </c>
      <c r="L19" s="39">
        <f>SUM(L13:L18)</f>
        <v>8227.4500000000007</v>
      </c>
    </row>
    <row r="20" spans="1:12" ht="16.5" thickTop="1" thickBot="1">
      <c r="A20" s="31" t="s">
        <v>18</v>
      </c>
      <c r="B20" s="29">
        <f>SUM(B15:B19)</f>
        <v>30</v>
      </c>
      <c r="C20" s="30"/>
      <c r="D20" s="31">
        <f>SUM(D15:D19)</f>
        <v>4002</v>
      </c>
    </row>
    <row r="21" spans="1:12" ht="16.5" thickTop="1" thickBot="1">
      <c r="K21" s="38" t="s">
        <v>26</v>
      </c>
      <c r="L21" s="37">
        <f>L10-L19</f>
        <v>6772.5499999999993</v>
      </c>
    </row>
    <row r="22" spans="1:12" ht="16" thickTop="1">
      <c r="A22" s="36" t="s">
        <v>45</v>
      </c>
      <c r="K22" s="36" t="s">
        <v>21</v>
      </c>
    </row>
    <row r="23" spans="1:12">
      <c r="A23">
        <v>26786171</v>
      </c>
    </row>
  </sheetData>
  <mergeCells count="5">
    <mergeCell ref="K12:L12"/>
    <mergeCell ref="A1:H2"/>
    <mergeCell ref="K3:L3"/>
    <mergeCell ref="K4:L4"/>
    <mergeCell ref="B13:D13"/>
  </mergeCells>
  <pageMargins left="0.7" right="0.7" top="0.75" bottom="0.75" header="0.3" footer="0.3"/>
  <pageSetup paperSize="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C72BB-923F-DB4A-A4B9-C9C78647B110}">
  <dimension ref="A1:AS54"/>
  <sheetViews>
    <sheetView topLeftCell="A11" zoomScaleNormal="116" workbookViewId="0">
      <selection activeCell="E56" sqref="E56"/>
    </sheetView>
  </sheetViews>
  <sheetFormatPr defaultColWidth="10.6640625" defaultRowHeight="15.5"/>
  <cols>
    <col min="1" max="1" width="16.1640625" customWidth="1"/>
    <col min="2" max="2" width="12.1640625" customWidth="1"/>
    <col min="3" max="3" width="17.6640625" customWidth="1"/>
    <col min="4" max="4" width="16.83203125" customWidth="1"/>
    <col min="5" max="5" width="14.5" bestFit="1" customWidth="1"/>
    <col min="6" max="6" width="14.5" customWidth="1"/>
    <col min="7" max="7" width="15.33203125" bestFit="1" customWidth="1"/>
    <col min="9" max="9" width="14" customWidth="1"/>
    <col min="10" max="10" width="28.33203125" customWidth="1"/>
    <col min="11" max="11" width="16.6640625" customWidth="1"/>
    <col min="12" max="12" width="12" bestFit="1" customWidth="1"/>
  </cols>
  <sheetData>
    <row r="1" spans="1:45" ht="20">
      <c r="A1" s="88" t="s">
        <v>60</v>
      </c>
      <c r="B1" s="88"/>
      <c r="C1" s="88"/>
      <c r="D1" s="88"/>
      <c r="E1" s="88"/>
      <c r="F1" s="88"/>
      <c r="G1" s="88"/>
      <c r="L1" s="65"/>
    </row>
    <row r="2" spans="1:45" ht="20">
      <c r="A2" s="89"/>
      <c r="B2" s="89"/>
      <c r="C2" s="89"/>
      <c r="D2" s="89"/>
      <c r="E2" s="89"/>
      <c r="F2" s="89"/>
      <c r="G2" s="89"/>
      <c r="L2" s="65" t="s">
        <v>61</v>
      </c>
    </row>
    <row r="3" spans="1:45" ht="24" thickBot="1">
      <c r="A3" s="16" t="s">
        <v>1</v>
      </c>
      <c r="B3" s="17" t="s">
        <v>5</v>
      </c>
      <c r="C3" s="17" t="s">
        <v>2</v>
      </c>
      <c r="D3" s="17" t="s">
        <v>3</v>
      </c>
      <c r="E3" s="49" t="s">
        <v>49</v>
      </c>
      <c r="F3" s="49" t="s">
        <v>52</v>
      </c>
      <c r="G3" s="17" t="s">
        <v>18</v>
      </c>
      <c r="I3" s="93" t="s">
        <v>59</v>
      </c>
      <c r="J3" s="85"/>
      <c r="M3" s="81" t="s">
        <v>57</v>
      </c>
      <c r="N3" s="82"/>
      <c r="O3" s="83"/>
      <c r="Q3" s="52"/>
      <c r="R3" s="90" t="s">
        <v>56</v>
      </c>
      <c r="S3" s="91"/>
      <c r="T3" s="92"/>
      <c r="V3" s="52"/>
      <c r="W3" s="90" t="s">
        <v>84</v>
      </c>
      <c r="X3" s="91"/>
      <c r="Y3" s="92"/>
      <c r="AB3" s="81" t="s">
        <v>88</v>
      </c>
      <c r="AC3" s="82"/>
      <c r="AD3" s="83"/>
      <c r="AG3" s="81" t="s">
        <v>89</v>
      </c>
      <c r="AH3" s="82"/>
      <c r="AI3" s="83"/>
      <c r="AL3" s="81" t="s">
        <v>96</v>
      </c>
      <c r="AM3" s="82"/>
      <c r="AN3" s="83"/>
      <c r="AQ3" s="81" t="s">
        <v>97</v>
      </c>
      <c r="AR3" s="82"/>
      <c r="AS3" s="83"/>
    </row>
    <row r="4" spans="1:45">
      <c r="A4" s="1" t="s">
        <v>46</v>
      </c>
      <c r="B4" s="2">
        <v>45331</v>
      </c>
      <c r="C4" s="4">
        <v>12</v>
      </c>
      <c r="D4">
        <v>61</v>
      </c>
      <c r="E4" s="51">
        <v>1475</v>
      </c>
      <c r="F4" s="51"/>
      <c r="G4" s="33">
        <f>F4+E4</f>
        <v>1475</v>
      </c>
      <c r="I4" s="86" t="s">
        <v>25</v>
      </c>
      <c r="J4" s="87"/>
      <c r="M4" s="22" t="s">
        <v>38</v>
      </c>
      <c r="N4" s="22" t="s">
        <v>39</v>
      </c>
      <c r="O4" s="22" t="s">
        <v>17</v>
      </c>
      <c r="Q4" s="52"/>
      <c r="R4" s="53" t="s">
        <v>38</v>
      </c>
      <c r="S4" s="54" t="s">
        <v>39</v>
      </c>
      <c r="T4" s="54" t="s">
        <v>17</v>
      </c>
      <c r="V4" s="52"/>
      <c r="W4" s="53" t="s">
        <v>38</v>
      </c>
      <c r="X4" s="54" t="s">
        <v>39</v>
      </c>
      <c r="Y4" s="54" t="s">
        <v>17</v>
      </c>
      <c r="AB4" s="22" t="s">
        <v>38</v>
      </c>
      <c r="AC4" s="22" t="s">
        <v>39</v>
      </c>
      <c r="AD4" s="22" t="s">
        <v>17</v>
      </c>
      <c r="AG4" s="22" t="s">
        <v>38</v>
      </c>
      <c r="AH4" s="22" t="s">
        <v>39</v>
      </c>
      <c r="AI4" s="22" t="s">
        <v>17</v>
      </c>
      <c r="AL4" s="22" t="s">
        <v>38</v>
      </c>
      <c r="AM4" s="22" t="s">
        <v>39</v>
      </c>
      <c r="AN4" s="22" t="s">
        <v>17</v>
      </c>
      <c r="AQ4" s="22" t="s">
        <v>38</v>
      </c>
      <c r="AR4" s="22" t="s">
        <v>39</v>
      </c>
      <c r="AS4" s="22" t="s">
        <v>17</v>
      </c>
    </row>
    <row r="5" spans="1:45">
      <c r="A5" s="6" t="s">
        <v>50</v>
      </c>
      <c r="B5" s="7">
        <v>45345</v>
      </c>
      <c r="C5" s="4">
        <v>39</v>
      </c>
      <c r="D5">
        <v>110</v>
      </c>
      <c r="E5" s="4">
        <v>1495</v>
      </c>
      <c r="F5" s="4">
        <v>2609</v>
      </c>
      <c r="G5" s="33">
        <f t="shared" ref="G5:G7" si="0">F5+E5</f>
        <v>4104</v>
      </c>
      <c r="I5" s="44" t="s">
        <v>24</v>
      </c>
      <c r="J5" s="48">
        <v>12000</v>
      </c>
      <c r="L5" s="50" t="s">
        <v>40</v>
      </c>
      <c r="M5" s="23">
        <v>5</v>
      </c>
      <c r="N5">
        <v>1</v>
      </c>
      <c r="O5" s="24">
        <f>M5*110</f>
        <v>550</v>
      </c>
      <c r="Q5" s="55" t="s">
        <v>40</v>
      </c>
      <c r="R5" s="52">
        <v>4</v>
      </c>
      <c r="S5" s="52">
        <v>1</v>
      </c>
      <c r="T5" s="56">
        <f>R5*65</f>
        <v>260</v>
      </c>
      <c r="V5" s="55" t="s">
        <v>40</v>
      </c>
      <c r="W5" s="52">
        <v>7</v>
      </c>
      <c r="X5" s="52">
        <v>1</v>
      </c>
      <c r="Y5" s="56">
        <f>W5*75</f>
        <v>525</v>
      </c>
      <c r="AA5" s="50" t="s">
        <v>40</v>
      </c>
      <c r="AB5" s="23">
        <v>5</v>
      </c>
      <c r="AC5">
        <v>1</v>
      </c>
      <c r="AD5" s="24">
        <f>AB5*140</f>
        <v>700</v>
      </c>
      <c r="AF5" s="50" t="s">
        <v>40</v>
      </c>
      <c r="AG5" s="23">
        <v>5</v>
      </c>
      <c r="AH5">
        <v>1</v>
      </c>
      <c r="AI5" s="24">
        <f>AG5*140</f>
        <v>700</v>
      </c>
      <c r="AK5" s="50" t="s">
        <v>40</v>
      </c>
      <c r="AL5" s="23">
        <v>5</v>
      </c>
      <c r="AM5">
        <v>1</v>
      </c>
      <c r="AN5" s="24">
        <f>AL5*140</f>
        <v>700</v>
      </c>
      <c r="AP5" s="50" t="s">
        <v>40</v>
      </c>
      <c r="AQ5" s="23">
        <v>5</v>
      </c>
      <c r="AR5">
        <v>1</v>
      </c>
      <c r="AS5" s="24">
        <f>AQ5*140</f>
        <v>700</v>
      </c>
    </row>
    <row r="6" spans="1:45" ht="16" thickBot="1">
      <c r="A6" s="6" t="s">
        <v>53</v>
      </c>
      <c r="B6" s="7">
        <v>45366</v>
      </c>
      <c r="C6" s="4">
        <v>40</v>
      </c>
      <c r="D6">
        <v>52</v>
      </c>
      <c r="E6" s="4" t="s">
        <v>11</v>
      </c>
      <c r="F6" s="4" t="s">
        <v>11</v>
      </c>
      <c r="G6" s="33"/>
      <c r="I6" s="40" t="s">
        <v>14</v>
      </c>
      <c r="J6" s="46">
        <f>SUM(J5:J5)</f>
        <v>12000</v>
      </c>
      <c r="L6" s="50" t="s">
        <v>41</v>
      </c>
      <c r="M6" s="23">
        <v>4</v>
      </c>
      <c r="N6">
        <v>5</v>
      </c>
      <c r="O6" s="24">
        <f>M6*139</f>
        <v>556</v>
      </c>
      <c r="Q6" s="57" t="s">
        <v>41</v>
      </c>
      <c r="R6" s="52">
        <v>5</v>
      </c>
      <c r="S6" s="52">
        <v>5</v>
      </c>
      <c r="T6" s="56">
        <f>R6*79</f>
        <v>395</v>
      </c>
      <c r="V6" s="57" t="s">
        <v>41</v>
      </c>
      <c r="W6" s="52">
        <v>7</v>
      </c>
      <c r="X6" s="52">
        <v>5</v>
      </c>
      <c r="Y6" s="56">
        <f>W6*85</f>
        <v>595</v>
      </c>
      <c r="AA6" s="50" t="s">
        <v>41</v>
      </c>
      <c r="AB6" s="23">
        <v>4</v>
      </c>
      <c r="AC6">
        <v>5</v>
      </c>
      <c r="AD6" s="24">
        <f>AB6*160</f>
        <v>640</v>
      </c>
      <c r="AF6" s="50" t="s">
        <v>41</v>
      </c>
      <c r="AG6" s="23">
        <v>3</v>
      </c>
      <c r="AH6">
        <v>5</v>
      </c>
      <c r="AI6" s="24">
        <f>AG6*160</f>
        <v>480</v>
      </c>
      <c r="AK6" s="50" t="s">
        <v>41</v>
      </c>
      <c r="AL6" s="23">
        <v>2</v>
      </c>
      <c r="AM6">
        <v>5</v>
      </c>
      <c r="AN6" s="24">
        <f>AL6*160</f>
        <v>320</v>
      </c>
      <c r="AP6" s="50" t="s">
        <v>41</v>
      </c>
      <c r="AQ6" s="23">
        <v>4</v>
      </c>
      <c r="AR6">
        <v>5</v>
      </c>
      <c r="AS6" s="24">
        <f>AQ6*160</f>
        <v>640</v>
      </c>
    </row>
    <row r="7" spans="1:45" ht="16" thickTop="1">
      <c r="A7" s="6" t="s">
        <v>47</v>
      </c>
      <c r="B7" s="7">
        <v>45387</v>
      </c>
      <c r="C7" s="4">
        <v>22</v>
      </c>
      <c r="D7">
        <v>29</v>
      </c>
      <c r="E7" s="4">
        <v>3233</v>
      </c>
      <c r="F7" s="4"/>
      <c r="G7" s="33">
        <f t="shared" si="0"/>
        <v>3233</v>
      </c>
      <c r="L7" s="50" t="s">
        <v>42</v>
      </c>
      <c r="M7" s="23">
        <v>4</v>
      </c>
      <c r="N7">
        <v>10</v>
      </c>
      <c r="O7" s="24">
        <f>M7*129</f>
        <v>516</v>
      </c>
      <c r="Q7" s="57" t="s">
        <v>42</v>
      </c>
      <c r="R7" s="52">
        <v>5</v>
      </c>
      <c r="S7" s="52">
        <v>10</v>
      </c>
      <c r="T7" s="56">
        <f>R7*75</f>
        <v>375</v>
      </c>
      <c r="V7" s="57" t="s">
        <v>42</v>
      </c>
      <c r="W7" s="52">
        <v>5</v>
      </c>
      <c r="X7" s="52">
        <v>10</v>
      </c>
      <c r="Y7" s="56">
        <f>W7*80</f>
        <v>400</v>
      </c>
      <c r="AA7" s="50" t="s">
        <v>42</v>
      </c>
      <c r="AB7" s="23">
        <v>3</v>
      </c>
      <c r="AC7">
        <v>10</v>
      </c>
      <c r="AD7" s="24">
        <f>AB7*150</f>
        <v>450</v>
      </c>
      <c r="AF7" s="50" t="s">
        <v>42</v>
      </c>
      <c r="AG7" s="23">
        <v>3</v>
      </c>
      <c r="AH7">
        <v>10</v>
      </c>
      <c r="AI7" s="24">
        <f>AG7*150</f>
        <v>450</v>
      </c>
      <c r="AK7" s="50" t="s">
        <v>42</v>
      </c>
      <c r="AL7" s="23">
        <v>4</v>
      </c>
      <c r="AM7">
        <v>10</v>
      </c>
      <c r="AN7" s="24">
        <f>AL7*150</f>
        <v>600</v>
      </c>
      <c r="AP7" s="50" t="s">
        <v>42</v>
      </c>
      <c r="AQ7" s="23">
        <v>7</v>
      </c>
      <c r="AR7">
        <v>10</v>
      </c>
      <c r="AS7" s="24">
        <f>AQ7*150</f>
        <v>1050</v>
      </c>
    </row>
    <row r="8" spans="1:45">
      <c r="A8" s="6" t="s">
        <v>54</v>
      </c>
      <c r="B8" s="7">
        <v>45401</v>
      </c>
      <c r="C8" s="4"/>
      <c r="E8" s="4" t="s">
        <v>11</v>
      </c>
      <c r="F8" s="4" t="s">
        <v>11</v>
      </c>
      <c r="G8" s="33"/>
      <c r="I8" s="62" t="s">
        <v>22</v>
      </c>
      <c r="J8" s="63"/>
      <c r="L8" s="50" t="s">
        <v>51</v>
      </c>
      <c r="M8" s="23">
        <v>3</v>
      </c>
      <c r="N8">
        <v>12</v>
      </c>
      <c r="O8" s="24">
        <f>M8*129</f>
        <v>387</v>
      </c>
      <c r="Q8" s="57" t="s">
        <v>51</v>
      </c>
      <c r="R8" s="52">
        <v>4</v>
      </c>
      <c r="S8" s="52">
        <v>12</v>
      </c>
      <c r="T8" s="56">
        <f>R8*75</f>
        <v>300</v>
      </c>
      <c r="V8" s="57" t="s">
        <v>51</v>
      </c>
      <c r="W8" s="52">
        <v>5</v>
      </c>
      <c r="X8" s="52">
        <v>12</v>
      </c>
      <c r="Y8" s="56">
        <f>W8*80</f>
        <v>400</v>
      </c>
      <c r="AA8" s="50" t="s">
        <v>51</v>
      </c>
      <c r="AB8" s="23">
        <v>3</v>
      </c>
      <c r="AC8">
        <v>12</v>
      </c>
      <c r="AD8" s="24">
        <f>AB8*150</f>
        <v>450</v>
      </c>
      <c r="AF8" s="50" t="s">
        <v>90</v>
      </c>
      <c r="AG8" s="23">
        <v>3</v>
      </c>
      <c r="AH8">
        <v>4</v>
      </c>
      <c r="AI8" s="24">
        <f>AG8*150</f>
        <v>450</v>
      </c>
      <c r="AK8" s="50" t="s">
        <v>90</v>
      </c>
      <c r="AL8" s="23">
        <v>3</v>
      </c>
      <c r="AM8">
        <v>4</v>
      </c>
      <c r="AN8" s="24">
        <f>AL8*170</f>
        <v>510</v>
      </c>
      <c r="AP8" s="50" t="s">
        <v>90</v>
      </c>
      <c r="AQ8" s="23">
        <v>5</v>
      </c>
      <c r="AR8">
        <v>4</v>
      </c>
      <c r="AS8" s="24">
        <f>AQ8*170</f>
        <v>850</v>
      </c>
    </row>
    <row r="9" spans="1:45">
      <c r="A9" s="6" t="s">
        <v>48</v>
      </c>
      <c r="B9" s="7">
        <v>45415</v>
      </c>
      <c r="C9" s="4">
        <v>36</v>
      </c>
      <c r="D9">
        <v>60</v>
      </c>
      <c r="E9" s="4"/>
      <c r="F9" s="4">
        <v>1670</v>
      </c>
      <c r="G9" s="33">
        <f>F9+E9</f>
        <v>1670</v>
      </c>
      <c r="I9" s="44" t="s">
        <v>33</v>
      </c>
      <c r="J9" s="43"/>
      <c r="L9" s="50" t="s">
        <v>44</v>
      </c>
      <c r="M9" s="23">
        <v>4</v>
      </c>
      <c r="N9" s="25">
        <v>24</v>
      </c>
      <c r="O9" s="24">
        <f>M9*150</f>
        <v>600</v>
      </c>
      <c r="Q9" s="57" t="s">
        <v>44</v>
      </c>
      <c r="R9" s="52">
        <v>4</v>
      </c>
      <c r="S9" s="58">
        <v>24</v>
      </c>
      <c r="T9" s="56">
        <f>R9*85</f>
        <v>340</v>
      </c>
      <c r="V9" s="57" t="s">
        <v>44</v>
      </c>
      <c r="W9" s="52">
        <v>4</v>
      </c>
      <c r="X9" s="58">
        <v>24</v>
      </c>
      <c r="Y9" s="56">
        <f>W9*90</f>
        <v>360</v>
      </c>
      <c r="AA9" s="50" t="s">
        <v>44</v>
      </c>
      <c r="AB9" s="23">
        <v>3</v>
      </c>
      <c r="AC9" s="25">
        <v>24</v>
      </c>
      <c r="AD9" s="24">
        <f>AB9*170</f>
        <v>510</v>
      </c>
      <c r="AF9" s="50" t="s">
        <v>44</v>
      </c>
      <c r="AG9" s="23">
        <v>3</v>
      </c>
      <c r="AH9" s="25">
        <v>24</v>
      </c>
      <c r="AI9" s="24">
        <f>AG9*170</f>
        <v>510</v>
      </c>
      <c r="AK9" s="50" t="s">
        <v>44</v>
      </c>
      <c r="AL9" s="23">
        <v>3</v>
      </c>
      <c r="AM9" s="25">
        <v>24</v>
      </c>
      <c r="AN9" s="24">
        <f>AL9*170</f>
        <v>510</v>
      </c>
      <c r="AP9" s="50" t="s">
        <v>44</v>
      </c>
      <c r="AQ9" s="23">
        <v>4</v>
      </c>
      <c r="AR9" s="25">
        <v>24</v>
      </c>
      <c r="AS9" s="24">
        <f>AQ9*170</f>
        <v>680</v>
      </c>
    </row>
    <row r="10" spans="1:45" ht="16" thickBot="1">
      <c r="A10" s="20" t="s">
        <v>14</v>
      </c>
      <c r="B10" s="20"/>
      <c r="C10" s="35">
        <f>SUM(C4:C9)</f>
        <v>149</v>
      </c>
      <c r="D10" s="20">
        <f>SUM(D4:D9)</f>
        <v>312</v>
      </c>
      <c r="E10" s="21">
        <f>SUM(E4:E9)</f>
        <v>6203</v>
      </c>
      <c r="F10" s="21">
        <f>SUM(F4:F9)</f>
        <v>4279</v>
      </c>
      <c r="G10" s="21">
        <f>SUM(G4:G9)</f>
        <v>10482</v>
      </c>
      <c r="I10" s="44" t="s">
        <v>34</v>
      </c>
      <c r="J10" s="43"/>
      <c r="L10" s="31" t="s">
        <v>18</v>
      </c>
      <c r="M10" s="29">
        <f>SUM(M5:M9)</f>
        <v>20</v>
      </c>
      <c r="N10" s="30"/>
      <c r="O10" s="31">
        <f>SUM(O5:O9)</f>
        <v>2609</v>
      </c>
      <c r="Q10" s="59" t="s">
        <v>18</v>
      </c>
      <c r="R10" s="60">
        <f>SUM(R5:R9)</f>
        <v>22</v>
      </c>
      <c r="S10" s="60"/>
      <c r="T10" s="61">
        <f>SUM(T5:T9)</f>
        <v>1670</v>
      </c>
      <c r="V10" s="59" t="s">
        <v>18</v>
      </c>
      <c r="W10" s="60">
        <f>SUM(W5:W9)</f>
        <v>28</v>
      </c>
      <c r="X10" s="60"/>
      <c r="Y10" s="61">
        <f>SUM(Y5:Y9)</f>
        <v>2280</v>
      </c>
      <c r="AA10" s="31" t="s">
        <v>18</v>
      </c>
      <c r="AB10" s="29">
        <f>SUM(AB5:AB9)</f>
        <v>18</v>
      </c>
      <c r="AC10" s="30"/>
      <c r="AD10" s="31">
        <f>SUM(AD5:AD9)</f>
        <v>2750</v>
      </c>
      <c r="AF10" s="31" t="s">
        <v>18</v>
      </c>
      <c r="AG10" s="29">
        <f>SUM(AG5:AG9)</f>
        <v>17</v>
      </c>
      <c r="AH10" s="30"/>
      <c r="AI10" s="31">
        <f>SUM(AI5:AI9)</f>
        <v>2590</v>
      </c>
      <c r="AK10" s="31" t="s">
        <v>18</v>
      </c>
      <c r="AL10" s="29">
        <f>SUM(AL5:AL9)</f>
        <v>17</v>
      </c>
      <c r="AM10" s="30"/>
      <c r="AN10" s="31">
        <f>SUM(AN5:AN9)</f>
        <v>2640</v>
      </c>
      <c r="AP10" s="31" t="s">
        <v>18</v>
      </c>
      <c r="AQ10" s="29">
        <f>SUM(AQ5:AQ9)</f>
        <v>25</v>
      </c>
      <c r="AR10" s="30"/>
      <c r="AS10" s="31">
        <f>SUM(AS5:AS9)</f>
        <v>3920</v>
      </c>
    </row>
    <row r="11" spans="1:45" ht="16.5" thickTop="1" thickBot="1">
      <c r="A11" s="20"/>
      <c r="B11" s="20"/>
      <c r="C11" s="35"/>
      <c r="D11" s="20"/>
      <c r="E11" s="20"/>
      <c r="F11" s="20"/>
      <c r="G11" s="21"/>
      <c r="I11" s="44" t="s">
        <v>70</v>
      </c>
      <c r="J11" s="64">
        <f>E10</f>
        <v>6203</v>
      </c>
      <c r="T11" t="s">
        <v>55</v>
      </c>
    </row>
    <row r="12" spans="1:45" ht="16" thickTop="1">
      <c r="I12" s="44" t="s">
        <v>69</v>
      </c>
      <c r="J12" s="64">
        <f>F10</f>
        <v>4279</v>
      </c>
    </row>
    <row r="13" spans="1:45" ht="16" thickBot="1">
      <c r="I13" s="40" t="s">
        <v>14</v>
      </c>
      <c r="J13" s="39">
        <f>SUM(J9:J12)</f>
        <v>10482</v>
      </c>
    </row>
    <row r="14" spans="1:45" ht="16" thickTop="1"/>
    <row r="15" spans="1:45" ht="16" thickBot="1">
      <c r="I15" s="38" t="s">
        <v>26</v>
      </c>
      <c r="J15" s="37">
        <f>J6-J13</f>
        <v>1518</v>
      </c>
    </row>
    <row r="16" spans="1:45" ht="16" thickTop="1">
      <c r="A16" s="88" t="s">
        <v>62</v>
      </c>
      <c r="B16" s="88"/>
      <c r="C16" s="88"/>
      <c r="D16" s="88"/>
      <c r="E16" s="88"/>
      <c r="F16" s="88"/>
      <c r="G16" s="88"/>
    </row>
    <row r="17" spans="1:10">
      <c r="A17" s="89"/>
      <c r="B17" s="89"/>
      <c r="C17" s="89"/>
      <c r="D17" s="89"/>
      <c r="E17" s="89"/>
      <c r="F17" s="89"/>
      <c r="G17" s="89"/>
    </row>
    <row r="18" spans="1:10" ht="16" thickBot="1">
      <c r="A18" s="16" t="s">
        <v>1</v>
      </c>
      <c r="B18" s="17" t="s">
        <v>5</v>
      </c>
      <c r="C18" s="17" t="s">
        <v>2</v>
      </c>
      <c r="D18" s="17" t="s">
        <v>3</v>
      </c>
      <c r="E18" s="49" t="s">
        <v>49</v>
      </c>
      <c r="F18" s="49" t="s">
        <v>52</v>
      </c>
      <c r="G18" s="17" t="s">
        <v>18</v>
      </c>
    </row>
    <row r="19" spans="1:10" ht="24" thickBot="1">
      <c r="A19" s="1" t="s">
        <v>63</v>
      </c>
      <c r="B19" s="2">
        <v>45555</v>
      </c>
      <c r="C19" s="4">
        <v>64</v>
      </c>
      <c r="D19">
        <v>157</v>
      </c>
      <c r="E19" s="78">
        <v>3510.6</v>
      </c>
      <c r="F19" s="78">
        <v>2280</v>
      </c>
      <c r="G19" s="33"/>
      <c r="I19" s="93" t="s">
        <v>58</v>
      </c>
      <c r="J19" s="85"/>
    </row>
    <row r="20" spans="1:10" ht="16" thickBot="1">
      <c r="A20" s="1" t="s">
        <v>64</v>
      </c>
      <c r="B20" s="7">
        <v>45562</v>
      </c>
      <c r="C20" s="4">
        <v>34</v>
      </c>
      <c r="D20">
        <v>79</v>
      </c>
      <c r="E20" s="4">
        <v>3305</v>
      </c>
      <c r="F20" s="4">
        <v>2750</v>
      </c>
      <c r="G20" s="33"/>
      <c r="I20" s="86" t="s">
        <v>25</v>
      </c>
      <c r="J20" s="87"/>
    </row>
    <row r="21" spans="1:10" ht="16" thickBot="1">
      <c r="A21" s="1" t="s">
        <v>65</v>
      </c>
      <c r="B21" s="7">
        <v>45576</v>
      </c>
      <c r="C21" s="4">
        <v>39</v>
      </c>
      <c r="D21">
        <v>66</v>
      </c>
      <c r="E21" s="4">
        <v>0</v>
      </c>
      <c r="F21" s="4">
        <v>2650</v>
      </c>
      <c r="G21" s="33"/>
      <c r="I21" s="44" t="s">
        <v>24</v>
      </c>
      <c r="J21" s="48">
        <v>12000</v>
      </c>
    </row>
    <row r="22" spans="1:10" ht="16" thickBot="1">
      <c r="A22" s="1" t="s">
        <v>66</v>
      </c>
      <c r="B22" s="7">
        <v>45590</v>
      </c>
      <c r="C22" s="4">
        <v>34</v>
      </c>
      <c r="D22">
        <v>61</v>
      </c>
      <c r="E22" s="4">
        <v>1782.78</v>
      </c>
      <c r="F22" s="4">
        <v>2640</v>
      </c>
      <c r="G22" s="33"/>
      <c r="I22" s="44" t="s">
        <v>27</v>
      </c>
      <c r="J22" s="48">
        <v>50000</v>
      </c>
    </row>
    <row r="23" spans="1:10">
      <c r="A23" s="1" t="s">
        <v>67</v>
      </c>
      <c r="B23" s="7">
        <v>45594</v>
      </c>
      <c r="C23" s="4">
        <v>24</v>
      </c>
      <c r="D23">
        <v>53</v>
      </c>
      <c r="E23" s="4">
        <v>3029</v>
      </c>
      <c r="F23" s="4">
        <v>3920</v>
      </c>
      <c r="G23" s="33"/>
      <c r="I23" s="44" t="s">
        <v>75</v>
      </c>
      <c r="J23" s="68">
        <f>J15</f>
        <v>1518</v>
      </c>
    </row>
    <row r="24" spans="1:10" ht="16" thickBot="1">
      <c r="A24" s="20" t="s">
        <v>14</v>
      </c>
      <c r="B24" s="20"/>
      <c r="C24" s="35">
        <f>SUM(C19:C23)</f>
        <v>195</v>
      </c>
      <c r="D24" s="20">
        <f>SUM(D19:D23)</f>
        <v>416</v>
      </c>
      <c r="E24" s="79">
        <f>SUM(E19:E23)</f>
        <v>11627.380000000001</v>
      </c>
      <c r="F24" s="20">
        <f>SUM(F19:F23)</f>
        <v>14240</v>
      </c>
      <c r="G24" s="21">
        <f>SUM(G19:G23)</f>
        <v>0</v>
      </c>
      <c r="I24" s="40" t="s">
        <v>14</v>
      </c>
      <c r="J24" s="46">
        <f>SUM(J21:J23)</f>
        <v>63518</v>
      </c>
    </row>
    <row r="25" spans="1:10" ht="16.5" thickTop="1" thickBot="1">
      <c r="A25" s="20"/>
      <c r="B25" s="20"/>
      <c r="C25" s="35"/>
      <c r="D25" s="20"/>
      <c r="E25" s="20"/>
      <c r="F25" s="20"/>
      <c r="G25" s="21"/>
    </row>
    <row r="26" spans="1:10" ht="16" thickTop="1">
      <c r="I26" s="86" t="s">
        <v>22</v>
      </c>
      <c r="J26" s="87"/>
    </row>
    <row r="27" spans="1:10">
      <c r="I27" s="44" t="s">
        <v>33</v>
      </c>
      <c r="J27" s="69">
        <f>E47</f>
        <v>0</v>
      </c>
    </row>
    <row r="28" spans="1:10">
      <c r="I28" s="44" t="s">
        <v>34</v>
      </c>
      <c r="J28" s="43"/>
    </row>
    <row r="29" spans="1:10">
      <c r="I29" s="44" t="s">
        <v>68</v>
      </c>
      <c r="J29" s="64">
        <f>E24</f>
        <v>11627.380000000001</v>
      </c>
    </row>
    <row r="30" spans="1:10">
      <c r="I30" s="44" t="s">
        <v>69</v>
      </c>
      <c r="J30" s="64">
        <f>F24</f>
        <v>14240</v>
      </c>
    </row>
    <row r="31" spans="1:10">
      <c r="I31" s="44"/>
      <c r="J31" s="43">
        <v>0</v>
      </c>
    </row>
    <row r="32" spans="1:10">
      <c r="I32" s="42"/>
      <c r="J32" s="41">
        <v>0</v>
      </c>
    </row>
    <row r="33" spans="1:10" ht="16" thickBot="1">
      <c r="I33" s="40" t="s">
        <v>14</v>
      </c>
      <c r="J33" s="66">
        <f>J27+J28+J29+J30+J31+J32</f>
        <v>25867.38</v>
      </c>
    </row>
    <row r="34" spans="1:10" ht="16" thickTop="1"/>
    <row r="35" spans="1:10" ht="16" thickBot="1">
      <c r="I35" s="38" t="s">
        <v>26</v>
      </c>
      <c r="J35" s="37">
        <f>J24-J33</f>
        <v>37650.619999999995</v>
      </c>
    </row>
    <row r="36" spans="1:10" ht="16" thickTop="1"/>
    <row r="37" spans="1:10" ht="16" customHeight="1"/>
    <row r="38" spans="1:10" ht="16" customHeight="1"/>
    <row r="39" spans="1:10" ht="16" customHeight="1">
      <c r="A39" s="88" t="s">
        <v>71</v>
      </c>
      <c r="B39" s="88"/>
      <c r="C39" s="88"/>
      <c r="D39" s="88"/>
      <c r="E39" s="88"/>
      <c r="F39" s="88"/>
      <c r="G39" s="88"/>
      <c r="H39" s="84" t="s">
        <v>78</v>
      </c>
      <c r="I39" s="85"/>
      <c r="J39" s="72" t="s">
        <v>81</v>
      </c>
    </row>
    <row r="40" spans="1:10">
      <c r="A40" s="89"/>
      <c r="B40" s="89"/>
      <c r="C40" s="89"/>
      <c r="D40" s="89"/>
      <c r="E40" s="89"/>
      <c r="F40" s="89"/>
      <c r="G40" s="89"/>
      <c r="H40" s="86" t="s">
        <v>76</v>
      </c>
      <c r="I40" s="87"/>
      <c r="J40" s="72" t="s">
        <v>80</v>
      </c>
    </row>
    <row r="41" spans="1:10" ht="16" thickBot="1">
      <c r="A41" s="16" t="s">
        <v>72</v>
      </c>
      <c r="B41" s="17" t="s">
        <v>5</v>
      </c>
      <c r="C41" s="17" t="s">
        <v>70</v>
      </c>
      <c r="D41" s="17" t="s">
        <v>73</v>
      </c>
      <c r="E41" s="49" t="s">
        <v>74</v>
      </c>
      <c r="F41" s="17" t="s">
        <v>18</v>
      </c>
      <c r="H41" s="44" t="s">
        <v>70</v>
      </c>
      <c r="I41" s="48">
        <v>12000</v>
      </c>
      <c r="J41" s="73">
        <f>I41-I47</f>
        <v>372.39999999999964</v>
      </c>
    </row>
    <row r="42" spans="1:10" ht="16" thickBot="1">
      <c r="A42" s="1" t="s">
        <v>79</v>
      </c>
      <c r="B42" s="2">
        <v>45524</v>
      </c>
      <c r="C42" s="4"/>
      <c r="E42" s="51">
        <v>492.91</v>
      </c>
      <c r="F42" s="33"/>
      <c r="H42" s="44" t="s">
        <v>73</v>
      </c>
      <c r="I42" s="48">
        <v>15000</v>
      </c>
      <c r="J42" s="73">
        <f>I42-I48</f>
        <v>760</v>
      </c>
    </row>
    <row r="43" spans="1:10" ht="16" thickBot="1">
      <c r="A43" s="1" t="s">
        <v>85</v>
      </c>
      <c r="B43" s="7">
        <v>45553</v>
      </c>
      <c r="C43" s="4">
        <v>3510.6</v>
      </c>
      <c r="E43" s="4"/>
      <c r="F43" s="33"/>
      <c r="H43" s="44" t="s">
        <v>77</v>
      </c>
      <c r="I43" s="68">
        <v>5000</v>
      </c>
      <c r="J43" s="70">
        <f>I43-I49</f>
        <v>4507.09</v>
      </c>
    </row>
    <row r="44" spans="1:10" ht="16" thickBot="1">
      <c r="A44" s="1" t="s">
        <v>83</v>
      </c>
      <c r="B44" s="7">
        <v>45555</v>
      </c>
      <c r="C44" s="4"/>
      <c r="D44">
        <v>2280</v>
      </c>
      <c r="E44" s="4"/>
      <c r="F44" s="33"/>
      <c r="H44" s="40" t="s">
        <v>14</v>
      </c>
      <c r="I44" s="46">
        <f>SUM(I41:I43)</f>
        <v>32000</v>
      </c>
      <c r="J44" s="73"/>
    </row>
    <row r="45" spans="1:10" ht="16.5" thickTop="1" thickBot="1">
      <c r="A45" s="1" t="s">
        <v>86</v>
      </c>
      <c r="B45" s="7">
        <v>45560</v>
      </c>
      <c r="C45" s="4">
        <v>3305</v>
      </c>
      <c r="E45" s="4"/>
      <c r="F45" s="33"/>
    </row>
    <row r="46" spans="1:10">
      <c r="A46" s="1" t="s">
        <v>87</v>
      </c>
      <c r="B46" s="7">
        <v>45562</v>
      </c>
      <c r="C46" s="4"/>
      <c r="D46">
        <v>2750</v>
      </c>
      <c r="E46" s="4"/>
      <c r="F46" s="33"/>
      <c r="H46" s="86" t="s">
        <v>22</v>
      </c>
      <c r="I46" s="87"/>
    </row>
    <row r="47" spans="1:10">
      <c r="A47" s="76" t="s">
        <v>91</v>
      </c>
      <c r="B47" s="77">
        <v>45576</v>
      </c>
      <c r="C47" s="4"/>
      <c r="D47">
        <v>2650</v>
      </c>
      <c r="E47" s="4"/>
      <c r="F47" s="33"/>
      <c r="H47" s="44" t="s">
        <v>70</v>
      </c>
      <c r="I47" s="74">
        <f>C52</f>
        <v>11627.6</v>
      </c>
    </row>
    <row r="48" spans="1:10">
      <c r="A48" s="76" t="s">
        <v>93</v>
      </c>
      <c r="B48" s="77">
        <v>45589</v>
      </c>
      <c r="C48" s="4">
        <v>1782.78</v>
      </c>
      <c r="E48" s="4"/>
      <c r="F48" s="33"/>
      <c r="H48" s="44" t="s">
        <v>69</v>
      </c>
      <c r="I48" s="74">
        <f>D52</f>
        <v>14240</v>
      </c>
    </row>
    <row r="49" spans="1:9">
      <c r="A49" s="76" t="s">
        <v>92</v>
      </c>
      <c r="B49" s="77">
        <v>45590</v>
      </c>
      <c r="C49" s="4"/>
      <c r="D49">
        <v>2640</v>
      </c>
      <c r="E49" s="4"/>
      <c r="F49" s="33"/>
      <c r="H49" s="44" t="s">
        <v>82</v>
      </c>
      <c r="I49" s="71">
        <f>E52</f>
        <v>492.91</v>
      </c>
    </row>
    <row r="50" spans="1:9" ht="16" thickBot="1">
      <c r="A50" s="76" t="s">
        <v>95</v>
      </c>
      <c r="B50" s="77">
        <v>45594</v>
      </c>
      <c r="C50" s="4"/>
      <c r="D50">
        <v>3920</v>
      </c>
      <c r="E50" s="4"/>
      <c r="F50" s="33"/>
      <c r="H50" s="40" t="s">
        <v>14</v>
      </c>
      <c r="I50" s="75">
        <f>I47+I49+I48</f>
        <v>26360.510000000002</v>
      </c>
    </row>
    <row r="51" spans="1:9" ht="16" thickTop="1">
      <c r="A51" s="76" t="s">
        <v>94</v>
      </c>
      <c r="B51" s="77">
        <v>45592</v>
      </c>
      <c r="C51" s="4">
        <v>3029.22</v>
      </c>
      <c r="E51" s="4"/>
      <c r="F51" s="33"/>
    </row>
    <row r="52" spans="1:9" ht="16" thickBot="1">
      <c r="A52" s="20" t="s">
        <v>14</v>
      </c>
      <c r="B52" s="20"/>
      <c r="C52" s="67">
        <f>SUM(C42:C51)</f>
        <v>11627.6</v>
      </c>
      <c r="D52" s="67">
        <f>SUM(D42:D51)</f>
        <v>14240</v>
      </c>
      <c r="E52" s="21">
        <f>SUM(E42:E51)</f>
        <v>492.91</v>
      </c>
      <c r="F52" s="67">
        <f>SUM(C52:E52)</f>
        <v>26360.51</v>
      </c>
      <c r="H52" s="38" t="s">
        <v>26</v>
      </c>
      <c r="I52" s="37">
        <f>I44-I50</f>
        <v>5639.489999999998</v>
      </c>
    </row>
    <row r="53" spans="1:9" ht="16.5" thickTop="1" thickBot="1">
      <c r="A53" s="20"/>
      <c r="B53" s="20"/>
      <c r="C53" s="35"/>
      <c r="D53" s="20"/>
      <c r="E53" s="20"/>
      <c r="F53" s="21"/>
    </row>
    <row r="54" spans="1:9" ht="16" thickTop="1"/>
  </sheetData>
  <mergeCells count="18">
    <mergeCell ref="A1:G2"/>
    <mergeCell ref="M3:O3"/>
    <mergeCell ref="R3:T3"/>
    <mergeCell ref="AG3:AI3"/>
    <mergeCell ref="A39:G40"/>
    <mergeCell ref="I19:J19"/>
    <mergeCell ref="A16:G17"/>
    <mergeCell ref="I3:J3"/>
    <mergeCell ref="I4:J4"/>
    <mergeCell ref="AB3:AD3"/>
    <mergeCell ref="W3:Y3"/>
    <mergeCell ref="AL3:AN3"/>
    <mergeCell ref="AQ3:AS3"/>
    <mergeCell ref="H39:I39"/>
    <mergeCell ref="H40:I40"/>
    <mergeCell ref="H46:I46"/>
    <mergeCell ref="I26:J26"/>
    <mergeCell ref="I20:J20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1B04F-54BF-4CAE-9A8D-3A2E9FD14C8D}">
  <dimension ref="A1:J28"/>
  <sheetViews>
    <sheetView zoomScale="70" zoomScaleNormal="100" workbookViewId="0">
      <selection activeCell="G11" sqref="G11"/>
    </sheetView>
  </sheetViews>
  <sheetFormatPr defaultRowHeight="15.5"/>
  <cols>
    <col min="1" max="1" width="16.33203125" customWidth="1"/>
    <col min="2" max="9" width="13.25" customWidth="1"/>
  </cols>
  <sheetData>
    <row r="1" spans="1:10" ht="25">
      <c r="A1" s="100" t="s">
        <v>98</v>
      </c>
      <c r="B1" s="100"/>
      <c r="C1" s="100"/>
      <c r="D1" s="100"/>
      <c r="E1" s="100"/>
      <c r="F1" s="100"/>
      <c r="G1" s="100"/>
      <c r="H1" s="101"/>
      <c r="I1" s="101"/>
    </row>
    <row r="2" spans="1:10" ht="25">
      <c r="A2" s="100"/>
      <c r="B2" s="100"/>
      <c r="C2" s="100"/>
      <c r="D2" s="100"/>
      <c r="E2" s="100"/>
      <c r="F2" s="100"/>
      <c r="G2" s="100"/>
      <c r="H2" s="80"/>
      <c r="I2" s="101"/>
      <c r="J2" s="103"/>
    </row>
    <row r="3" spans="1:10" ht="29.5" thickBot="1">
      <c r="A3" s="105" t="s">
        <v>1</v>
      </c>
      <c r="B3" s="105" t="s">
        <v>5</v>
      </c>
      <c r="C3" s="105" t="s">
        <v>2</v>
      </c>
      <c r="D3" s="105" t="s">
        <v>3</v>
      </c>
      <c r="E3" s="106" t="s">
        <v>49</v>
      </c>
      <c r="F3" s="106" t="s">
        <v>52</v>
      </c>
      <c r="G3" s="105" t="s">
        <v>18</v>
      </c>
      <c r="H3" s="94" t="s">
        <v>99</v>
      </c>
      <c r="I3" s="102" t="s">
        <v>100</v>
      </c>
      <c r="J3" s="103"/>
    </row>
    <row r="4" spans="1:10">
      <c r="A4" s="112" t="s">
        <v>101</v>
      </c>
      <c r="B4" s="2">
        <v>45695</v>
      </c>
      <c r="C4" s="4"/>
      <c r="E4" s="51"/>
      <c r="F4" s="51"/>
      <c r="G4" s="33">
        <f t="shared" ref="G4:G7" si="0">E4+F4</f>
        <v>0</v>
      </c>
      <c r="H4" s="33"/>
      <c r="I4" s="33"/>
      <c r="J4" s="103"/>
    </row>
    <row r="5" spans="1:10">
      <c r="A5" s="116" t="s">
        <v>102</v>
      </c>
      <c r="B5" s="7">
        <v>45709</v>
      </c>
      <c r="C5" s="4"/>
      <c r="E5" s="4"/>
      <c r="F5" s="4"/>
      <c r="G5" s="33">
        <f t="shared" si="0"/>
        <v>0</v>
      </c>
      <c r="H5" s="33"/>
      <c r="I5" s="33"/>
    </row>
    <row r="6" spans="1:10">
      <c r="A6" s="116" t="s">
        <v>103</v>
      </c>
      <c r="B6" s="7">
        <v>45723</v>
      </c>
      <c r="C6" s="4"/>
      <c r="D6">
        <v>90</v>
      </c>
      <c r="E6" s="95"/>
      <c r="F6" s="4">
        <v>2967</v>
      </c>
      <c r="G6" s="33">
        <f t="shared" si="0"/>
        <v>2967</v>
      </c>
      <c r="H6" s="33"/>
      <c r="I6" s="33"/>
    </row>
    <row r="7" spans="1:10">
      <c r="A7" s="116" t="s">
        <v>104</v>
      </c>
      <c r="B7" s="7">
        <v>45737</v>
      </c>
      <c r="C7" s="4"/>
      <c r="D7">
        <v>46</v>
      </c>
      <c r="E7" s="4">
        <v>2494.7600000000002</v>
      </c>
      <c r="F7" s="4">
        <v>2500</v>
      </c>
      <c r="G7" s="33">
        <f t="shared" si="0"/>
        <v>4994.76</v>
      </c>
      <c r="H7" s="33" t="s">
        <v>105</v>
      </c>
      <c r="I7" s="33">
        <v>5000</v>
      </c>
    </row>
    <row r="8" spans="1:10">
      <c r="A8" s="116" t="s">
        <v>106</v>
      </c>
      <c r="B8" s="7">
        <v>45751</v>
      </c>
      <c r="C8" s="4"/>
      <c r="D8">
        <v>56</v>
      </c>
      <c r="E8" s="4">
        <v>2478.71</v>
      </c>
      <c r="F8" s="4">
        <v>2589</v>
      </c>
      <c r="G8" s="33">
        <f>E8+F8</f>
        <v>5067.71</v>
      </c>
      <c r="H8" s="33" t="s">
        <v>105</v>
      </c>
      <c r="I8" s="33">
        <v>5000</v>
      </c>
    </row>
    <row r="9" spans="1:10">
      <c r="A9" s="115" t="s">
        <v>107</v>
      </c>
      <c r="B9" s="7">
        <v>45779</v>
      </c>
      <c r="C9" s="4"/>
      <c r="D9">
        <v>36</v>
      </c>
      <c r="E9" s="4">
        <v>93</v>
      </c>
      <c r="F9" s="96">
        <v>2095</v>
      </c>
      <c r="G9" s="33">
        <f>E9+F9</f>
        <v>2188</v>
      </c>
      <c r="H9" s="97" t="s">
        <v>108</v>
      </c>
      <c r="I9" s="97"/>
    </row>
    <row r="10" spans="1:10" ht="16" thickBot="1">
      <c r="A10" s="20" t="s">
        <v>14</v>
      </c>
      <c r="B10" s="20"/>
      <c r="C10" s="35">
        <f>SUM(C4:C9)</f>
        <v>0</v>
      </c>
      <c r="D10" s="20">
        <f>SUM(D4:D9)</f>
        <v>228</v>
      </c>
      <c r="E10" s="21">
        <f>SUM(E4:E9)</f>
        <v>5066.47</v>
      </c>
      <c r="F10" s="98">
        <f>SUM(F4:F9)</f>
        <v>10151</v>
      </c>
      <c r="G10" s="21">
        <f>SUM(G4:G9)</f>
        <v>15217.470000000001</v>
      </c>
      <c r="H10" s="99"/>
      <c r="I10" s="104"/>
    </row>
    <row r="11" spans="1:10" ht="16.5" thickTop="1" thickBot="1">
      <c r="A11" s="114"/>
      <c r="B11" s="20"/>
      <c r="C11" s="35"/>
      <c r="D11" s="20"/>
      <c r="E11" s="20"/>
      <c r="F11" s="20"/>
      <c r="G11" s="21"/>
      <c r="H11" s="99"/>
      <c r="I11" s="104"/>
    </row>
    <row r="12" spans="1:10" ht="16" thickTop="1">
      <c r="A12" s="103"/>
      <c r="I12" s="103"/>
    </row>
    <row r="13" spans="1:10">
      <c r="A13" s="103"/>
      <c r="I13" s="103"/>
    </row>
    <row r="14" spans="1:10">
      <c r="A14" s="103"/>
      <c r="I14" s="103"/>
    </row>
    <row r="15" spans="1:10">
      <c r="A15" s="103"/>
      <c r="I15" s="103"/>
    </row>
    <row r="16" spans="1:10" ht="25">
      <c r="A16" s="100" t="s">
        <v>109</v>
      </c>
      <c r="B16" s="100"/>
      <c r="C16" s="100"/>
      <c r="D16" s="100"/>
      <c r="E16" s="100"/>
      <c r="F16" s="100"/>
      <c r="G16" s="100"/>
      <c r="H16" s="80"/>
      <c r="I16" s="101"/>
    </row>
    <row r="17" spans="1:10" ht="25">
      <c r="A17" s="89"/>
      <c r="B17" s="89"/>
      <c r="C17" s="89"/>
      <c r="D17" s="89"/>
      <c r="E17" s="89"/>
      <c r="F17" s="89"/>
      <c r="G17" s="89"/>
      <c r="H17" s="80"/>
      <c r="I17" s="101"/>
    </row>
    <row r="18" spans="1:10" ht="44" thickBot="1">
      <c r="A18" s="17" t="s">
        <v>1</v>
      </c>
      <c r="B18" s="17" t="s">
        <v>5</v>
      </c>
      <c r="C18" s="17" t="s">
        <v>2</v>
      </c>
      <c r="D18" s="17" t="s">
        <v>3</v>
      </c>
      <c r="E18" s="49" t="s">
        <v>110</v>
      </c>
      <c r="F18" s="49" t="s">
        <v>52</v>
      </c>
      <c r="G18" s="17" t="s">
        <v>18</v>
      </c>
      <c r="H18" s="94" t="s">
        <v>99</v>
      </c>
      <c r="I18" s="102"/>
    </row>
    <row r="19" spans="1:10" ht="16" thickBot="1">
      <c r="A19" s="113" t="s">
        <v>111</v>
      </c>
      <c r="B19" s="2">
        <v>45905</v>
      </c>
      <c r="C19" s="4"/>
      <c r="D19">
        <v>135</v>
      </c>
      <c r="E19" s="78">
        <v>1668.86</v>
      </c>
      <c r="F19" s="78">
        <v>3285</v>
      </c>
      <c r="G19" s="117">
        <f>E19+F19</f>
        <v>4953.8599999999997</v>
      </c>
      <c r="H19" s="97" t="s">
        <v>112</v>
      </c>
      <c r="I19" s="97">
        <v>5000</v>
      </c>
    </row>
    <row r="20" spans="1:10" ht="16" thickBot="1">
      <c r="A20" s="113" t="s">
        <v>113</v>
      </c>
      <c r="B20" s="7">
        <v>45919</v>
      </c>
      <c r="C20" s="4"/>
      <c r="D20">
        <v>112</v>
      </c>
      <c r="E20" s="4">
        <v>1703.1</v>
      </c>
      <c r="F20" s="4">
        <v>3290</v>
      </c>
      <c r="G20" s="117">
        <f t="shared" ref="G20:G24" si="1">E20+F20</f>
        <v>4993.1000000000004</v>
      </c>
      <c r="H20" s="97" t="s">
        <v>114</v>
      </c>
      <c r="I20" s="97">
        <v>5000</v>
      </c>
    </row>
    <row r="21" spans="1:10" ht="16" thickBot="1">
      <c r="A21" s="113" t="s">
        <v>115</v>
      </c>
      <c r="B21" s="7">
        <v>45954</v>
      </c>
      <c r="C21" s="4"/>
      <c r="D21">
        <v>47</v>
      </c>
      <c r="E21" s="4">
        <v>1207.1300000000001</v>
      </c>
      <c r="F21" s="4">
        <v>2790</v>
      </c>
      <c r="G21" s="117">
        <f t="shared" si="1"/>
        <v>3997.13</v>
      </c>
      <c r="H21" s="97" t="s">
        <v>116</v>
      </c>
      <c r="I21" s="97">
        <v>4000</v>
      </c>
    </row>
    <row r="22" spans="1:10" ht="16" thickBot="1">
      <c r="A22" s="113" t="s">
        <v>117</v>
      </c>
      <c r="B22" s="7">
        <v>45968</v>
      </c>
      <c r="C22" s="4"/>
      <c r="D22">
        <v>57</v>
      </c>
      <c r="E22" s="4">
        <v>202</v>
      </c>
      <c r="F22" s="4">
        <v>2060</v>
      </c>
      <c r="G22" s="117">
        <f t="shared" si="1"/>
        <v>2262</v>
      </c>
      <c r="H22" s="97" t="s">
        <v>108</v>
      </c>
      <c r="I22" s="97"/>
      <c r="J22" s="103"/>
    </row>
    <row r="23" spans="1:10">
      <c r="A23" s="112" t="s">
        <v>118</v>
      </c>
      <c r="B23" s="7">
        <v>45975</v>
      </c>
      <c r="C23" s="4"/>
      <c r="D23">
        <v>39</v>
      </c>
      <c r="E23" s="4">
        <v>206</v>
      </c>
      <c r="F23" s="4">
        <v>2060</v>
      </c>
      <c r="G23" s="117">
        <f t="shared" si="1"/>
        <v>2266</v>
      </c>
      <c r="H23" s="97" t="s">
        <v>108</v>
      </c>
      <c r="I23" s="97"/>
      <c r="J23" s="103"/>
    </row>
    <row r="24" spans="1:10">
      <c r="A24" s="111" t="s">
        <v>119</v>
      </c>
      <c r="B24" s="77">
        <v>45989</v>
      </c>
      <c r="C24" s="4"/>
      <c r="D24">
        <v>38</v>
      </c>
      <c r="E24" s="4">
        <v>138</v>
      </c>
      <c r="F24" s="4">
        <v>1645</v>
      </c>
      <c r="G24" s="117">
        <f t="shared" si="1"/>
        <v>1783</v>
      </c>
      <c r="H24" s="97" t="s">
        <v>108</v>
      </c>
      <c r="I24" s="97"/>
      <c r="J24" s="103"/>
    </row>
    <row r="25" spans="1:10" ht="16" thickBot="1">
      <c r="A25" s="20" t="s">
        <v>14</v>
      </c>
      <c r="B25" s="20"/>
      <c r="C25" s="35">
        <f>SUM(C19:C23)</f>
        <v>0</v>
      </c>
      <c r="D25" s="20">
        <f>SUM(D19:D24)</f>
        <v>428</v>
      </c>
      <c r="E25" s="79">
        <f>SUM(E19:E24)</f>
        <v>5125.09</v>
      </c>
      <c r="F25" s="20">
        <f>SUM(F19:F24)</f>
        <v>15130</v>
      </c>
      <c r="G25" s="98">
        <f>SUM(G19:G24)</f>
        <v>20255.09</v>
      </c>
      <c r="H25" s="99"/>
      <c r="I25" s="104"/>
      <c r="J25" s="103"/>
    </row>
    <row r="26" spans="1:10" ht="16" thickTop="1">
      <c r="A26" s="108"/>
      <c r="B26" s="110"/>
      <c r="C26" s="107"/>
      <c r="D26" s="110"/>
      <c r="E26" s="110"/>
      <c r="F26" s="110"/>
      <c r="G26" s="109"/>
      <c r="H26" s="104"/>
      <c r="I26" s="104"/>
      <c r="J26" s="103"/>
    </row>
    <row r="27" spans="1:10">
      <c r="A27" s="103"/>
      <c r="B27" s="103"/>
      <c r="C27" s="103"/>
      <c r="D27" s="103"/>
      <c r="E27" s="103"/>
      <c r="F27" s="103"/>
      <c r="G27" s="103"/>
      <c r="H27" s="103"/>
      <c r="I27" s="103"/>
    </row>
    <row r="28" spans="1:10">
      <c r="G28" s="103"/>
    </row>
  </sheetData>
  <mergeCells count="2">
    <mergeCell ref="A1:G2"/>
    <mergeCell ref="A16:G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4EAB-9CB7-4081-9F22-0DEDDA6DDC15}">
  <dimension ref="A1:H24"/>
  <sheetViews>
    <sheetView tabSelected="1" zoomScale="63" workbookViewId="0">
      <selection activeCell="E29" sqref="E29"/>
    </sheetView>
  </sheetViews>
  <sheetFormatPr defaultRowHeight="15.5"/>
  <cols>
    <col min="1" max="7" width="16.33203125" customWidth="1"/>
  </cols>
  <sheetData>
    <row r="1" spans="1:8">
      <c r="A1" s="118" t="s">
        <v>120</v>
      </c>
      <c r="B1" s="119"/>
      <c r="C1" s="119"/>
      <c r="D1" s="119"/>
      <c r="E1" s="119"/>
      <c r="F1" s="119"/>
      <c r="G1" s="119"/>
    </row>
    <row r="2" spans="1:8">
      <c r="A2" s="120"/>
      <c r="B2" s="89"/>
      <c r="C2" s="89"/>
      <c r="D2" s="89"/>
      <c r="E2" s="89"/>
      <c r="F2" s="89"/>
      <c r="G2" s="89"/>
    </row>
    <row r="3" spans="1:8" ht="29.5" thickBot="1">
      <c r="A3" s="121" t="s">
        <v>1</v>
      </c>
      <c r="B3" s="17" t="s">
        <v>5</v>
      </c>
      <c r="C3" s="17" t="s">
        <v>2</v>
      </c>
      <c r="D3" s="17" t="s">
        <v>3</v>
      </c>
      <c r="E3" s="49" t="s">
        <v>49</v>
      </c>
      <c r="F3" s="49" t="s">
        <v>52</v>
      </c>
      <c r="G3" s="17" t="s">
        <v>18</v>
      </c>
    </row>
    <row r="4" spans="1:8">
      <c r="A4" s="122" t="s">
        <v>121</v>
      </c>
      <c r="B4" s="2">
        <v>45701</v>
      </c>
      <c r="C4" s="4"/>
      <c r="D4">
        <v>77</v>
      </c>
      <c r="E4" s="4">
        <v>2108.04</v>
      </c>
      <c r="F4" s="4">
        <v>2890</v>
      </c>
      <c r="G4" s="33">
        <f t="shared" ref="G4:G7" si="0">E4+F4</f>
        <v>4998.04</v>
      </c>
      <c r="H4" s="128"/>
    </row>
    <row r="5" spans="1:8">
      <c r="A5" s="123" t="s">
        <v>122</v>
      </c>
      <c r="B5" s="7">
        <v>45715</v>
      </c>
      <c r="C5" s="4"/>
      <c r="D5">
        <v>66</v>
      </c>
      <c r="E5" s="4">
        <v>1636.43</v>
      </c>
      <c r="F5" s="4">
        <v>3330</v>
      </c>
      <c r="G5" s="33">
        <f t="shared" si="0"/>
        <v>4966.43</v>
      </c>
    </row>
    <row r="6" spans="1:8">
      <c r="A6" s="123" t="s">
        <v>123</v>
      </c>
      <c r="B6" s="7">
        <v>45729</v>
      </c>
      <c r="C6" s="4"/>
      <c r="D6">
        <v>57</v>
      </c>
      <c r="E6" s="95">
        <v>1668.07</v>
      </c>
      <c r="F6" s="4">
        <v>3330</v>
      </c>
      <c r="G6" s="33">
        <f t="shared" si="0"/>
        <v>4998.07</v>
      </c>
    </row>
    <row r="7" spans="1:8">
      <c r="A7" s="123" t="s">
        <v>124</v>
      </c>
      <c r="B7" s="7">
        <v>45743</v>
      </c>
      <c r="C7" s="4"/>
      <c r="D7">
        <v>55</v>
      </c>
      <c r="E7" s="4">
        <v>1669.28</v>
      </c>
      <c r="F7" s="4">
        <v>3330</v>
      </c>
      <c r="G7" s="33">
        <f t="shared" si="0"/>
        <v>4999.28</v>
      </c>
    </row>
    <row r="8" spans="1:8">
      <c r="A8" s="123" t="s">
        <v>125</v>
      </c>
      <c r="B8" s="7">
        <v>45764</v>
      </c>
      <c r="C8" s="4"/>
      <c r="E8" s="4"/>
      <c r="F8" s="4"/>
      <c r="G8" s="33">
        <f>E8+F8</f>
        <v>0</v>
      </c>
    </row>
    <row r="9" spans="1:8" ht="16" thickBot="1">
      <c r="A9" s="124" t="s">
        <v>14</v>
      </c>
      <c r="B9" s="20"/>
      <c r="C9" s="35">
        <f>SUM(C4:C8)</f>
        <v>0</v>
      </c>
      <c r="D9" s="20">
        <f>SUM(D4:D8)</f>
        <v>255</v>
      </c>
      <c r="E9" s="21">
        <f>SUM(E4:E8)</f>
        <v>7081.82</v>
      </c>
      <c r="F9" s="98">
        <f>SUM(F4:F8)</f>
        <v>12880</v>
      </c>
      <c r="G9" s="21">
        <f>SUM(G4:G8)</f>
        <v>19961.82</v>
      </c>
    </row>
    <row r="10" spans="1:8" ht="16.5" thickTop="1" thickBot="1">
      <c r="A10" s="124"/>
      <c r="B10" s="20"/>
      <c r="C10" s="35"/>
      <c r="D10" s="20"/>
      <c r="E10" s="20"/>
      <c r="F10" s="20"/>
      <c r="G10" s="21"/>
    </row>
    <row r="11" spans="1:8" ht="16" thickTop="1">
      <c r="A11" s="125"/>
    </row>
    <row r="12" spans="1:8">
      <c r="A12" s="125"/>
    </row>
    <row r="13" spans="1:8">
      <c r="A13" s="125"/>
    </row>
    <row r="14" spans="1:8">
      <c r="A14" s="125"/>
    </row>
    <row r="15" spans="1:8">
      <c r="A15" s="126" t="s">
        <v>126</v>
      </c>
      <c r="B15" s="88"/>
      <c r="C15" s="88"/>
      <c r="D15" s="88"/>
      <c r="E15" s="88"/>
      <c r="F15" s="88"/>
      <c r="G15" s="88"/>
    </row>
    <row r="16" spans="1:8">
      <c r="A16" s="120"/>
      <c r="B16" s="89"/>
      <c r="C16" s="89"/>
      <c r="D16" s="89"/>
      <c r="E16" s="89"/>
      <c r="F16" s="89"/>
      <c r="G16" s="89"/>
    </row>
    <row r="17" spans="1:7" ht="44" thickBot="1">
      <c r="A17" s="121" t="s">
        <v>1</v>
      </c>
      <c r="B17" s="17" t="s">
        <v>5</v>
      </c>
      <c r="C17" s="17" t="s">
        <v>2</v>
      </c>
      <c r="D17" s="17" t="s">
        <v>3</v>
      </c>
      <c r="E17" s="49" t="s">
        <v>110</v>
      </c>
      <c r="F17" s="49" t="s">
        <v>52</v>
      </c>
      <c r="G17" s="17" t="s">
        <v>18</v>
      </c>
    </row>
    <row r="18" spans="1:7" ht="16" thickBot="1">
      <c r="A18" s="122" t="s">
        <v>127</v>
      </c>
      <c r="B18" s="2"/>
      <c r="C18" s="4"/>
      <c r="E18" s="78"/>
      <c r="F18" s="78"/>
      <c r="G18" s="33">
        <f>E18+F18</f>
        <v>0</v>
      </c>
    </row>
    <row r="19" spans="1:7" ht="16" thickBot="1">
      <c r="A19" s="122" t="s">
        <v>128</v>
      </c>
      <c r="B19" s="7"/>
      <c r="C19" s="4"/>
      <c r="E19" s="78"/>
      <c r="F19" s="78"/>
      <c r="G19" s="33"/>
    </row>
    <row r="20" spans="1:7" ht="16" thickBot="1">
      <c r="A20" s="122" t="s">
        <v>129</v>
      </c>
      <c r="B20" s="7"/>
      <c r="C20" s="4"/>
      <c r="E20" s="4"/>
      <c r="F20" s="4"/>
      <c r="G20" s="33">
        <f t="shared" ref="G20:G22" si="1">E20+F20</f>
        <v>0</v>
      </c>
    </row>
    <row r="21" spans="1:7">
      <c r="A21" s="122" t="s">
        <v>130</v>
      </c>
      <c r="B21" s="7"/>
      <c r="C21" s="4"/>
      <c r="E21" s="4"/>
      <c r="F21" s="4"/>
      <c r="G21" s="33">
        <f t="shared" si="1"/>
        <v>0</v>
      </c>
    </row>
    <row r="22" spans="1:7">
      <c r="A22" s="127" t="s">
        <v>131</v>
      </c>
      <c r="B22" s="77"/>
      <c r="C22" s="4"/>
      <c r="E22" s="4"/>
      <c r="F22" s="4"/>
      <c r="G22" s="33">
        <f t="shared" si="1"/>
        <v>0</v>
      </c>
    </row>
    <row r="23" spans="1:7" ht="16" thickBot="1">
      <c r="A23" s="124" t="s">
        <v>14</v>
      </c>
      <c r="B23" s="20"/>
      <c r="C23" s="35">
        <f>SUM(C18:C21)</f>
        <v>0</v>
      </c>
      <c r="D23" s="20">
        <f>SUM(D18:D22)</f>
        <v>0</v>
      </c>
      <c r="E23" s="79">
        <f>SUM(E18:E22)</f>
        <v>0</v>
      </c>
      <c r="F23" s="20">
        <f>SUM(F18:F22)</f>
        <v>0</v>
      </c>
      <c r="G23" s="21">
        <f>SUM(G18:G21)</f>
        <v>0</v>
      </c>
    </row>
    <row r="24" spans="1:7" ht="16" thickTop="1"/>
  </sheetData>
  <mergeCells count="2">
    <mergeCell ref="A1:G2"/>
    <mergeCell ref="A15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Sigrid Lind</cp:lastModifiedBy>
  <cp:lastPrinted>2022-08-04T20:47:14Z</cp:lastPrinted>
  <dcterms:created xsi:type="dcterms:W3CDTF">2022-01-26T10:45:00Z</dcterms:created>
  <dcterms:modified xsi:type="dcterms:W3CDTF">2026-04-07T10:42:17Z</dcterms:modified>
</cp:coreProperties>
</file>